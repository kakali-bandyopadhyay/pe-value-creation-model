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drawing3.xml" ContentType="application/vnd.openxmlformats-officedocument.drawing+xml"/>
  <Override PartName="/xl/drawings/vmlDrawing8.vml" ContentType="application/vnd.openxmlformats-officedocument.vmlDrawing"/>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haredStrings.xml" ContentType="application/vnd.openxmlformats-officedocument.spreadsheetml.sharedString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tart Here" sheetId="1" state="visible" r:id="rId3"/>
    <sheet name="Dashboard" sheetId="2" state="visible" r:id="rId4"/>
    <sheet name="Controls" sheetId="3" state="visible" r:id="rId5"/>
    <sheet name="Historical &amp; Baseline" sheetId="4" state="visible" r:id="rId6"/>
    <sheet name="Initiatives" sheetId="5" state="visible" r:id="rId7"/>
    <sheet name="Operating Model" sheetId="6" state="visible" r:id="rId8"/>
    <sheet name="Cash Flow &amp; Debt" sheetId="7" state="visible" r:id="rId9"/>
    <sheet name="Returns" sheetId="8" state="visible" r:id="rId10"/>
    <sheet name="Sensitivity" sheetId="9" state="visible" r:id="rId11"/>
    <sheet name="VCP Tracker" sheetId="10" state="visible" r:id="rId12"/>
    <sheet name="Checks &amp; Definitions" sheetId="11" state="visible" r:id="rId13"/>
  </sheets>
  <definedNames>
    <definedName function="false" hidden="false" localSheetId="1" name="_xlnm.Print_Area" vbProcedure="false">Dashboard!$C$2:$K$60</definedName>
    <definedName function="false" hidden="true" localSheetId="4" name="_xlnm._FilterDatabase" vbProcedure="false">Initiatives!$C$6:$O$23</definedName>
    <definedName function="false" hidden="true" localSheetId="9" name="_xlnm._FilterDatabase" vbProcedure="false">'VCP Tracker'!$C$7:$Q$67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Synthetic Model Builder</author>
  </authors>
  <commentList>
    <comment ref="C15"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C16"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C17"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6" authorId="0">
      <text>
        <r>
          <rPr>
            <sz val="10"/>
            <rFont val="Arial"/>
            <family val="2"/>
          </rPr>
          <t xml:space="preserve">Synthetic editable control.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8" authorId="0">
      <text>
        <r>
          <rPr>
            <sz val="10"/>
            <rFont val="Arial"/>
            <family val="2"/>
          </rPr>
          <t xml:space="preserve">Synthetic editable control.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9" authorId="0">
      <text>
        <r>
          <rPr>
            <sz val="10"/>
            <rFont val="Arial"/>
            <family val="2"/>
          </rPr>
          <t xml:space="preserve">Synthetic editable control.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10" authorId="0">
      <text>
        <r>
          <rPr>
            <sz val="10"/>
            <rFont val="Arial"/>
            <family val="2"/>
          </rPr>
          <t xml:space="preserve">Synthetic editable control.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15"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16"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17"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21"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22"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23"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24"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25"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26"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27"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28"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29"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30"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31"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32"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33"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34"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35" authorId="0">
      <text>
        <r>
          <rPr>
            <sz val="10"/>
            <rFont val="Arial"/>
            <family val="2"/>
          </rPr>
          <t xml:space="preserve">Synthetic illustrative assumption. Review before changing.</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37" authorId="0">
      <text>
        <r>
          <rPr>
            <sz val="10"/>
            <rFont val="Arial"/>
            <family val="2"/>
          </rPr>
          <t xml:space="preserve">Synthetic illustrative threshold; not an external standard.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38" authorId="0">
      <text>
        <r>
          <rPr>
            <sz val="10"/>
            <rFont val="Arial"/>
            <family val="2"/>
          </rPr>
          <t xml:space="preserve">Synthetic illustrative threshold; not an external standard.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39" authorId="0">
      <text>
        <r>
          <rPr>
            <sz val="10"/>
            <rFont val="Arial"/>
            <family val="2"/>
          </rPr>
          <t xml:space="preserve">Synthetic illustrative threshold; not an external standard.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D40" authorId="0">
      <text>
        <r>
          <rPr>
            <sz val="10"/>
            <rFont val="Arial"/>
            <family val="2"/>
          </rPr>
          <t xml:space="preserve">Synthetic illustrative threshold; not an external standard.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E15"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E16"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E17"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F15"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F16"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F17"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G15"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G16"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G17"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H15"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H16"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H17" authorId="0">
      <text>
        <r>
          <rPr>
            <sz val="10"/>
            <rFont val="Arial"/>
            <family val="2"/>
          </rPr>
          <t xml:space="preserve">Synthetic illustrative operating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I15" authorId="0">
      <text>
        <r>
          <rPr>
            <sz val="10"/>
            <rFont val="Arial"/>
            <family val="2"/>
          </rPr>
          <t xml:space="preserve">Synthetic illustrative annual margin lift.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I16" authorId="0">
      <text>
        <r>
          <rPr>
            <sz val="10"/>
            <rFont val="Arial"/>
            <family val="2"/>
          </rPr>
          <t xml:space="preserve">Synthetic illustrative annual margin lift.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I17" authorId="0">
      <text>
        <r>
          <rPr>
            <sz val="10"/>
            <rFont val="Arial"/>
            <family val="2"/>
          </rPr>
          <t xml:space="preserve">Synthetic illustrative annual margin lift.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J15" authorId="0">
      <text>
        <r>
          <rPr>
            <sz val="10"/>
            <rFont val="Arial"/>
            <family val="2"/>
          </rPr>
          <t xml:space="preserve">Synthetic illustrative exit valuation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J16" authorId="0">
      <text>
        <r>
          <rPr>
            <sz val="10"/>
            <rFont val="Arial"/>
            <family val="2"/>
          </rPr>
          <t xml:space="preserve">Synthetic illustrative exit valuation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 ref="J17" authorId="0">
      <text>
        <r>
          <rPr>
            <sz val="10"/>
            <rFont val="Arial"/>
            <family val="2"/>
          </rPr>
          <t xml:space="preserve">Synthetic illustrative exit valuation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-132</xdr:colOff>
                <xdr:row>2</xdr:row>
                <xdr:rowOff>41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Synthetic Model Builder</author>
  </authors>
  <commentList>
    <comment ref="D7" authorId="0">
      <text>
        <r>
          <rPr>
            <sz val="10"/>
            <rFont val="Arial"/>
            <family val="2"/>
          </rPr>
          <t xml:space="preserve">Synthetic illustrative company figure; not an actual company result.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-147</xdr:colOff>
                <xdr:row>2</xdr:row>
                <xdr:rowOff>41</xdr:rowOff>
              </xdr:to>
            </anchor>
          </commentPr>
        </mc:Choice>
        <mc:Fallback/>
      </mc:AlternateContent>
    </comment>
    <comment ref="D8" authorId="0">
      <text>
        <r>
          <rPr>
            <sz val="10"/>
            <rFont val="Arial"/>
            <family val="2"/>
          </rPr>
          <t xml:space="preserve">Synthetic illustrative company figure; not an actual company result.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-147</xdr:colOff>
                <xdr:row>2</xdr:row>
                <xdr:rowOff>41</xdr:rowOff>
              </xdr:to>
            </anchor>
          </commentPr>
        </mc:Choice>
        <mc:Fallback/>
      </mc:AlternateContent>
    </comment>
    <comment ref="E7" authorId="0">
      <text>
        <r>
          <rPr>
            <sz val="10"/>
            <rFont val="Arial"/>
            <family val="2"/>
          </rPr>
          <t xml:space="preserve">Synthetic illustrative company figure; not an actual company result.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-147</xdr:colOff>
                <xdr:row>2</xdr:row>
                <xdr:rowOff>41</xdr:rowOff>
              </xdr:to>
            </anchor>
          </commentPr>
        </mc:Choice>
        <mc:Fallback/>
      </mc:AlternateContent>
    </comment>
    <comment ref="E8" authorId="0">
      <text>
        <r>
          <rPr>
            <sz val="10"/>
            <rFont val="Arial"/>
            <family val="2"/>
          </rPr>
          <t xml:space="preserve">Synthetic illustrative company figure; not an actual company result.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-147</xdr:colOff>
                <xdr:row>2</xdr:row>
                <xdr:rowOff>41</xdr:rowOff>
              </xdr:to>
            </anchor>
          </commentPr>
        </mc:Choice>
        <mc:Fallback/>
      </mc:AlternateContent>
    </comment>
    <comment ref="F7" authorId="0">
      <text>
        <r>
          <rPr>
            <sz val="10"/>
            <rFont val="Arial"/>
            <family val="2"/>
          </rPr>
          <t xml:space="preserve">Synthetic illustrative company figure; not an actual company result.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-147</xdr:colOff>
                <xdr:row>2</xdr:row>
                <xdr:rowOff>41</xdr:rowOff>
              </xdr:to>
            </anchor>
          </commentPr>
        </mc:Choice>
        <mc:Fallback/>
      </mc:AlternateContent>
    </comment>
    <comment ref="F8" authorId="0">
      <text>
        <r>
          <rPr>
            <sz val="10"/>
            <rFont val="Arial"/>
            <family val="2"/>
          </rPr>
          <t xml:space="preserve">Synthetic illustrative company figure; not an actual company result.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-147</xdr:colOff>
                <xdr:row>2</xdr:row>
                <xdr:rowOff>41</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Synthetic Model Builder</author>
  </authors>
  <commentList>
    <comment ref="C28"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C29"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C30"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7"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8"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9"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14"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15"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16"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21"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22"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23" authorId="0">
      <text>
        <r>
          <rPr>
            <sz val="10"/>
            <rFont val="Arial"/>
            <family val="2"/>
          </rPr>
          <t xml:space="preserve">Synthetic scenario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28"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29"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D30"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7" authorId="0">
      <text>
        <r>
          <rPr>
            <sz val="10"/>
            <rFont val="Arial"/>
            <family val="2"/>
          </rPr>
          <t xml:space="preserve">Synthetic start year relative to ownership period.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8" authorId="0">
      <text>
        <r>
          <rPr>
            <sz val="10"/>
            <rFont val="Arial"/>
            <family val="2"/>
          </rPr>
          <t xml:space="preserve">Synthetic start year relative to ownership period.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9" authorId="0">
      <text>
        <r>
          <rPr>
            <sz val="10"/>
            <rFont val="Arial"/>
            <family val="2"/>
          </rPr>
          <t xml:space="preserve">Synthetic start year relative to ownership period.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14" authorId="0">
      <text>
        <r>
          <rPr>
            <sz val="10"/>
            <rFont val="Arial"/>
            <family val="2"/>
          </rPr>
          <t xml:space="preserve">Synthetic start year relative to ownership period.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15" authorId="0">
      <text>
        <r>
          <rPr>
            <sz val="10"/>
            <rFont val="Arial"/>
            <family val="2"/>
          </rPr>
          <t xml:space="preserve">Synthetic start year relative to ownership period.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16" authorId="0">
      <text>
        <r>
          <rPr>
            <sz val="10"/>
            <rFont val="Arial"/>
            <family val="2"/>
          </rPr>
          <t xml:space="preserve">Synthetic start year relative to ownership period.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21" authorId="0">
      <text>
        <r>
          <rPr>
            <sz val="10"/>
            <rFont val="Arial"/>
            <family val="2"/>
          </rPr>
          <t xml:space="preserve">Synthetic start year relative to ownership period.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22" authorId="0">
      <text>
        <r>
          <rPr>
            <sz val="10"/>
            <rFont val="Arial"/>
            <family val="2"/>
          </rPr>
          <t xml:space="preserve">Synthetic start year relative to ownership period.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23" authorId="0">
      <text>
        <r>
          <rPr>
            <sz val="10"/>
            <rFont val="Arial"/>
            <family val="2"/>
          </rPr>
          <t xml:space="preserve">Synthetic start year relative to ownership period.</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28"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29"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E30"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7" authorId="0">
      <text>
        <r>
          <rPr>
            <sz val="10"/>
            <rFont val="Arial"/>
            <family val="2"/>
          </rPr>
          <t xml:space="preserve">Synthetic illustrative realization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8" authorId="0">
      <text>
        <r>
          <rPr>
            <sz val="10"/>
            <rFont val="Arial"/>
            <family val="2"/>
          </rPr>
          <t xml:space="preserve">Synthetic illustrative realization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9" authorId="0">
      <text>
        <r>
          <rPr>
            <sz val="10"/>
            <rFont val="Arial"/>
            <family val="2"/>
          </rPr>
          <t xml:space="preserve">Synthetic illustrative realization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14" authorId="0">
      <text>
        <r>
          <rPr>
            <sz val="10"/>
            <rFont val="Arial"/>
            <family val="2"/>
          </rPr>
          <t xml:space="preserve">Synthetic illustrative realization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15" authorId="0">
      <text>
        <r>
          <rPr>
            <sz val="10"/>
            <rFont val="Arial"/>
            <family val="2"/>
          </rPr>
          <t xml:space="preserve">Synthetic illustrative realization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16" authorId="0">
      <text>
        <r>
          <rPr>
            <sz val="10"/>
            <rFont val="Arial"/>
            <family val="2"/>
          </rPr>
          <t xml:space="preserve">Synthetic illustrative realization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21" authorId="0">
      <text>
        <r>
          <rPr>
            <sz val="10"/>
            <rFont val="Arial"/>
            <family val="2"/>
          </rPr>
          <t xml:space="preserve">Synthetic illustrative realization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22" authorId="0">
      <text>
        <r>
          <rPr>
            <sz val="10"/>
            <rFont val="Arial"/>
            <family val="2"/>
          </rPr>
          <t xml:space="preserve">Synthetic illustrative realization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23" authorId="0">
      <text>
        <r>
          <rPr>
            <sz val="10"/>
            <rFont val="Arial"/>
            <family val="2"/>
          </rPr>
          <t xml:space="preserve">Synthetic illustrative realization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28"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29"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F30"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7" authorId="0">
      <text>
        <r>
          <rPr>
            <sz val="10"/>
            <rFont val="Arial"/>
            <family val="2"/>
          </rPr>
          <t xml:space="preserve">Synthetic one-time implementation cost.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8" authorId="0">
      <text>
        <r>
          <rPr>
            <sz val="10"/>
            <rFont val="Arial"/>
            <family val="2"/>
          </rPr>
          <t xml:space="preserve">Synthetic one-time implementation cost.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9" authorId="0">
      <text>
        <r>
          <rPr>
            <sz val="10"/>
            <rFont val="Arial"/>
            <family val="2"/>
          </rPr>
          <t xml:space="preserve">Synthetic one-time implementation cost.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14" authorId="0">
      <text>
        <r>
          <rPr>
            <sz val="10"/>
            <rFont val="Arial"/>
            <family val="2"/>
          </rPr>
          <t xml:space="preserve">Synthetic one-time implementation cost.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15" authorId="0">
      <text>
        <r>
          <rPr>
            <sz val="10"/>
            <rFont val="Arial"/>
            <family val="2"/>
          </rPr>
          <t xml:space="preserve">Synthetic one-time implementation cost.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16" authorId="0">
      <text>
        <r>
          <rPr>
            <sz val="10"/>
            <rFont val="Arial"/>
            <family val="2"/>
          </rPr>
          <t xml:space="preserve">Synthetic one-time implementation cost.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21" authorId="0">
      <text>
        <r>
          <rPr>
            <sz val="10"/>
            <rFont val="Arial"/>
            <family val="2"/>
          </rPr>
          <t xml:space="preserve">Synthetic one-time implementation cost.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22" authorId="0">
      <text>
        <r>
          <rPr>
            <sz val="10"/>
            <rFont val="Arial"/>
            <family val="2"/>
          </rPr>
          <t xml:space="preserve">Synthetic one-time implementation cost.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23" authorId="0">
      <text>
        <r>
          <rPr>
            <sz val="10"/>
            <rFont val="Arial"/>
            <family val="2"/>
          </rPr>
          <t xml:space="preserve">Synthetic one-time implementation cost.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28"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29"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G30"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7" authorId="0">
      <text>
        <r>
          <rPr>
            <sz val="10"/>
            <rFont val="Arial"/>
            <family val="2"/>
          </rPr>
          <t xml:space="preserve">Synthetic annual operating cost from initiative start.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8" authorId="0">
      <text>
        <r>
          <rPr>
            <sz val="10"/>
            <rFont val="Arial"/>
            <family val="2"/>
          </rPr>
          <t xml:space="preserve">Synthetic annual operating cost from initiative start.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9" authorId="0">
      <text>
        <r>
          <rPr>
            <sz val="10"/>
            <rFont val="Arial"/>
            <family val="2"/>
          </rPr>
          <t xml:space="preserve">Synthetic annual operating cost from initiative start.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14" authorId="0">
      <text>
        <r>
          <rPr>
            <sz val="10"/>
            <rFont val="Arial"/>
            <family val="2"/>
          </rPr>
          <t xml:space="preserve">Synthetic annual operating cost from initiative start.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15" authorId="0">
      <text>
        <r>
          <rPr>
            <sz val="10"/>
            <rFont val="Arial"/>
            <family val="2"/>
          </rPr>
          <t xml:space="preserve">Synthetic annual operating cost from initiative start.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16" authorId="0">
      <text>
        <r>
          <rPr>
            <sz val="10"/>
            <rFont val="Arial"/>
            <family val="2"/>
          </rPr>
          <t xml:space="preserve">Synthetic annual operating cost from initiative start.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21" authorId="0">
      <text>
        <r>
          <rPr>
            <sz val="10"/>
            <rFont val="Arial"/>
            <family val="2"/>
          </rPr>
          <t xml:space="preserve">Synthetic annual operating cost from initiative start.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22" authorId="0">
      <text>
        <r>
          <rPr>
            <sz val="10"/>
            <rFont val="Arial"/>
            <family val="2"/>
          </rPr>
          <t xml:space="preserve">Synthetic annual operating cost from initiative start.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23" authorId="0">
      <text>
        <r>
          <rPr>
            <sz val="10"/>
            <rFont val="Arial"/>
            <family val="2"/>
          </rPr>
          <t xml:space="preserve">Synthetic annual operating cost from initiative start.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28"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29"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H30"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7" authorId="0">
      <text>
        <r>
          <rPr>
            <sz val="10"/>
            <rFont val="Arial"/>
            <family val="2"/>
          </rPr>
          <t xml:space="preserve">Synthetic planning confidence; not a statistical confidence interval.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8" authorId="0">
      <text>
        <r>
          <rPr>
            <sz val="10"/>
            <rFont val="Arial"/>
            <family val="2"/>
          </rPr>
          <t xml:space="preserve">Synthetic planning confidence; not a statistical confidence interval.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9" authorId="0">
      <text>
        <r>
          <rPr>
            <sz val="10"/>
            <rFont val="Arial"/>
            <family val="2"/>
          </rPr>
          <t xml:space="preserve">Synthetic planning confidence; not a statistical confidence interval.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14" authorId="0">
      <text>
        <r>
          <rPr>
            <sz val="10"/>
            <rFont val="Arial"/>
            <family val="2"/>
          </rPr>
          <t xml:space="preserve">Synthetic planning confidence; not a statistical confidence interval.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15" authorId="0">
      <text>
        <r>
          <rPr>
            <sz val="10"/>
            <rFont val="Arial"/>
            <family val="2"/>
          </rPr>
          <t xml:space="preserve">Synthetic planning confidence; not a statistical confidence interval.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16" authorId="0">
      <text>
        <r>
          <rPr>
            <sz val="10"/>
            <rFont val="Arial"/>
            <family val="2"/>
          </rPr>
          <t xml:space="preserve">Synthetic planning confidence; not a statistical confidence interval.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21" authorId="0">
      <text>
        <r>
          <rPr>
            <sz val="10"/>
            <rFont val="Arial"/>
            <family val="2"/>
          </rPr>
          <t xml:space="preserve">Synthetic planning confidence; not a statistical confidence interval.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22" authorId="0">
      <text>
        <r>
          <rPr>
            <sz val="10"/>
            <rFont val="Arial"/>
            <family val="2"/>
          </rPr>
          <t xml:space="preserve">Synthetic planning confidence; not a statistical confidence interval.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23" authorId="0">
      <text>
        <r>
          <rPr>
            <sz val="10"/>
            <rFont val="Arial"/>
            <family val="2"/>
          </rPr>
          <t xml:space="preserve">Synthetic planning confidence; not a statistical confidence interval.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28"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29"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I30"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7" authorId="0">
      <text>
        <r>
          <rPr>
            <sz val="10"/>
            <rFont val="Arial"/>
            <family val="2"/>
          </rPr>
          <t xml:space="preserve">Synthetic dependency.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8" authorId="0">
      <text>
        <r>
          <rPr>
            <sz val="10"/>
            <rFont val="Arial"/>
            <family val="2"/>
          </rPr>
          <t xml:space="preserve">Synthetic dependency.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9" authorId="0">
      <text>
        <r>
          <rPr>
            <sz val="10"/>
            <rFont val="Arial"/>
            <family val="2"/>
          </rPr>
          <t xml:space="preserve">Synthetic dependency.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14" authorId="0">
      <text>
        <r>
          <rPr>
            <sz val="10"/>
            <rFont val="Arial"/>
            <family val="2"/>
          </rPr>
          <t xml:space="preserve">Synthetic dependency.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15" authorId="0">
      <text>
        <r>
          <rPr>
            <sz val="10"/>
            <rFont val="Arial"/>
            <family val="2"/>
          </rPr>
          <t xml:space="preserve">Synthetic dependency.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16" authorId="0">
      <text>
        <r>
          <rPr>
            <sz val="10"/>
            <rFont val="Arial"/>
            <family val="2"/>
          </rPr>
          <t xml:space="preserve">Synthetic dependency.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21" authorId="0">
      <text>
        <r>
          <rPr>
            <sz val="10"/>
            <rFont val="Arial"/>
            <family val="2"/>
          </rPr>
          <t xml:space="preserve">Synthetic dependency.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22" authorId="0">
      <text>
        <r>
          <rPr>
            <sz val="10"/>
            <rFont val="Arial"/>
            <family val="2"/>
          </rPr>
          <t xml:space="preserve">Synthetic dependency.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23" authorId="0">
      <text>
        <r>
          <rPr>
            <sz val="10"/>
            <rFont val="Arial"/>
            <family val="2"/>
          </rPr>
          <t xml:space="preserve">Synthetic dependency.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28"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29"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J30"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7"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8"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9"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14"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15"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16"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21"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22"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23"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28"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29"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K30" authorId="0">
      <text>
        <r>
          <rPr>
            <sz val="10"/>
            <rFont val="Arial"/>
            <family val="2"/>
          </rPr>
          <t xml:space="preserve">Synthetic illustrative assumption or role/KPI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L7"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L8"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L9"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L14"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L15"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L16"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L21"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L22"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L23"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M7"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M8"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M9"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M14"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M15"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M16"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M21"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M22"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M23"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N7"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N8"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N9"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N14"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N15"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N16"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N21"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N22"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N23"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O7"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O8"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O9"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O14"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O15"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O16"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O21"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O22"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 ref="O23" authorId="0">
      <text>
        <r>
          <rPr>
            <sz val="10"/>
            <rFont val="Arial"/>
            <family val="2"/>
          </rPr>
          <t xml:space="preserve">Synthetic illustrative ramp by ownership year.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-29</xdr:colOff>
                <xdr:row>2</xdr:row>
                <xdr:rowOff>41</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Synthetic Model Builder</author>
  </authors>
  <commentList>
    <comment ref="D6" authorId="0">
      <text>
        <r>
          <rPr>
            <sz val="10"/>
            <rFont val="Arial"/>
            <family val="2"/>
          </rPr>
          <t xml:space="preserve">Model period index, not a forecast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-273</xdr:colOff>
                <xdr:row>2</xdr:row>
                <xdr:rowOff>41</xdr:rowOff>
              </xdr:to>
            </anchor>
          </commentPr>
        </mc:Choice>
        <mc:Fallback/>
      </mc:AlternateContent>
    </comment>
    <comment ref="E6" authorId="0">
      <text>
        <r>
          <rPr>
            <sz val="10"/>
            <rFont val="Arial"/>
            <family val="2"/>
          </rPr>
          <t xml:space="preserve">Model period index, not a forecast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-273</xdr:colOff>
                <xdr:row>2</xdr:row>
                <xdr:rowOff>41</xdr:rowOff>
              </xdr:to>
            </anchor>
          </commentPr>
        </mc:Choice>
        <mc:Fallback/>
      </mc:AlternateContent>
    </comment>
    <comment ref="F6" authorId="0">
      <text>
        <r>
          <rPr>
            <sz val="10"/>
            <rFont val="Arial"/>
            <family val="2"/>
          </rPr>
          <t xml:space="preserve">Model period index, not a forecast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-273</xdr:colOff>
                <xdr:row>2</xdr:row>
                <xdr:rowOff>41</xdr:rowOff>
              </xdr:to>
            </anchor>
          </commentPr>
        </mc:Choice>
        <mc:Fallback/>
      </mc:AlternateContent>
    </comment>
    <comment ref="G6" authorId="0">
      <text>
        <r>
          <rPr>
            <sz val="10"/>
            <rFont val="Arial"/>
            <family val="2"/>
          </rPr>
          <t xml:space="preserve">Model period index, not a forecast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-273</xdr:colOff>
                <xdr:row>2</xdr:row>
                <xdr:rowOff>41</xdr:rowOff>
              </xdr:to>
            </anchor>
          </commentPr>
        </mc:Choice>
        <mc:Fallback/>
      </mc:AlternateContent>
    </comment>
    <comment ref="H6" authorId="0">
      <text>
        <r>
          <rPr>
            <sz val="10"/>
            <rFont val="Arial"/>
            <family val="2"/>
          </rPr>
          <t xml:space="preserve">Model period index, not a forecast assumption.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-273</xdr:colOff>
                <xdr:row>2</xdr:row>
                <xdr:rowOff>41</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Synthetic Model Builder</author>
  </authors>
  <commentList>
    <comment ref="D6" authorId="0">
      <text>
        <r>
          <rPr>
            <sz val="10"/>
            <rFont val="Arial"/>
            <family val="2"/>
          </rPr>
          <t xml:space="preserve">Model period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E6" authorId="0">
      <text>
        <r>
          <rPr>
            <sz val="10"/>
            <rFont val="Arial"/>
            <family val="2"/>
          </rPr>
          <t xml:space="preserve">Model period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F6" authorId="0">
      <text>
        <r>
          <rPr>
            <sz val="10"/>
            <rFont val="Arial"/>
            <family val="2"/>
          </rPr>
          <t xml:space="preserve">Model period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G6" authorId="0">
      <text>
        <r>
          <rPr>
            <sz val="10"/>
            <rFont val="Arial"/>
            <family val="2"/>
          </rPr>
          <t xml:space="preserve">Model period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H6" authorId="0">
      <text>
        <r>
          <rPr>
            <sz val="10"/>
            <rFont val="Arial"/>
            <family val="2"/>
          </rPr>
          <t xml:space="preserve">Model period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Synthetic Model Builder</author>
  </authors>
  <commentList>
    <comment ref="D7" authorId="0">
      <text>
        <r>
          <rPr>
            <sz val="10"/>
            <rFont val="Arial"/>
            <family val="2"/>
          </rPr>
          <t xml:space="preserve">Synthetic illustrative model date.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-177</xdr:colOff>
                <xdr:row>2</xdr:row>
                <xdr:rowOff>41</xdr:rowOff>
              </xdr:to>
            </anchor>
          </commentPr>
        </mc:Choice>
        <mc:Fallback/>
      </mc:AlternateContent>
    </comment>
    <comment ref="E7" authorId="0">
      <text>
        <r>
          <rPr>
            <sz val="10"/>
            <rFont val="Arial"/>
            <family val="2"/>
          </rPr>
          <t xml:space="preserve">Synthetic illustrative model date.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-177</xdr:colOff>
                <xdr:row>2</xdr:row>
                <xdr:rowOff>41</xdr:rowOff>
              </xdr:to>
            </anchor>
          </commentPr>
        </mc:Choice>
        <mc:Fallback/>
      </mc:AlternateContent>
    </comment>
    <comment ref="F7" authorId="0">
      <text>
        <r>
          <rPr>
            <sz val="10"/>
            <rFont val="Arial"/>
            <family val="2"/>
          </rPr>
          <t xml:space="preserve">Synthetic illustrative model date.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-177</xdr:colOff>
                <xdr:row>2</xdr:row>
                <xdr:rowOff>41</xdr:rowOff>
              </xdr:to>
            </anchor>
          </commentPr>
        </mc:Choice>
        <mc:Fallback/>
      </mc:AlternateContent>
    </comment>
    <comment ref="G7" authorId="0">
      <text>
        <r>
          <rPr>
            <sz val="10"/>
            <rFont val="Arial"/>
            <family val="2"/>
          </rPr>
          <t xml:space="preserve">Synthetic illustrative model date.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-177</xdr:colOff>
                <xdr:row>2</xdr:row>
                <xdr:rowOff>41</xdr:rowOff>
              </xdr:to>
            </anchor>
          </commentPr>
        </mc:Choice>
        <mc:Fallback/>
      </mc:AlternateContent>
    </comment>
    <comment ref="H7" authorId="0">
      <text>
        <r>
          <rPr>
            <sz val="10"/>
            <rFont val="Arial"/>
            <family val="2"/>
          </rPr>
          <t xml:space="preserve">Synthetic illustrative model date.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-177</xdr:colOff>
                <xdr:row>2</xdr:row>
                <xdr:rowOff>41</xdr:rowOff>
              </xdr:to>
            </anchor>
          </commentPr>
        </mc:Choice>
        <mc:Fallback/>
      </mc:AlternateContent>
    </comment>
    <comment ref="I7" authorId="0">
      <text>
        <r>
          <rPr>
            <sz val="10"/>
            <rFont val="Arial"/>
            <family val="2"/>
          </rPr>
          <t xml:space="preserve">Synthetic illustrative model date.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-177</xdr:colOff>
                <xdr:row>2</xdr:row>
                <xdr:rowOff>41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Synthetic Model Builder</author>
  </authors>
  <commentList>
    <comment ref="C23" authorId="0">
      <text>
        <r>
          <rPr>
            <sz val="10"/>
            <rFont val="Arial"/>
            <family val="2"/>
          </rPr>
          <t xml:space="preserve">Synthetic sensitivity point.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C24" authorId="0">
      <text>
        <r>
          <rPr>
            <sz val="10"/>
            <rFont val="Arial"/>
            <family val="2"/>
          </rPr>
          <t xml:space="preserve">Synthetic sensitivity point.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C25" authorId="0">
      <text>
        <r>
          <rPr>
            <sz val="10"/>
            <rFont val="Arial"/>
            <family val="2"/>
          </rPr>
          <t xml:space="preserve">Synthetic sensitivity point.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C26" authorId="0">
      <text>
        <r>
          <rPr>
            <sz val="10"/>
            <rFont val="Arial"/>
            <family val="2"/>
          </rPr>
          <t xml:space="preserve">Synthetic sensitivity point.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C27" authorId="0">
      <text>
        <r>
          <rPr>
            <sz val="10"/>
            <rFont val="Arial"/>
            <family val="2"/>
          </rPr>
          <t xml:space="preserve">Synthetic sensitivity point.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D9" authorId="0">
      <text>
        <r>
          <rPr>
            <sz val="10"/>
            <rFont val="Arial"/>
            <family val="2"/>
          </rPr>
          <t xml:space="preserve">Synthetic sensitivity point.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D22" authorId="0">
      <text>
        <r>
          <rPr>
            <sz val="10"/>
            <rFont val="Arial"/>
            <family val="2"/>
          </rPr>
          <t xml:space="preserve">Synthetic sensitivity point for AI avoided-cost realization.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D36" authorId="0">
      <text>
        <r>
          <rPr>
            <sz val="10"/>
            <rFont val="Arial"/>
            <family val="2"/>
          </rPr>
          <t xml:space="preserve">Synthetic sensitivity driver; varies the AI initiative realization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D52" authorId="0">
      <text>
        <r>
          <rPr>
            <sz val="10"/>
            <rFont val="Arial"/>
            <family val="2"/>
          </rPr>
          <t xml:space="preserve">Synthetic sensitivity driver; varies the AI initiative realization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D68" authorId="0">
      <text>
        <r>
          <rPr>
            <sz val="10"/>
            <rFont val="Arial"/>
            <family val="2"/>
          </rPr>
          <t xml:space="preserve">Synthetic sensitivity driver; varies the AI initiative realization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D84" authorId="0">
      <text>
        <r>
          <rPr>
            <sz val="10"/>
            <rFont val="Arial"/>
            <family val="2"/>
          </rPr>
          <t xml:space="preserve">Synthetic sensitivity driver; varies the AI initiative realization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D100" authorId="0">
      <text>
        <r>
          <rPr>
            <sz val="10"/>
            <rFont val="Arial"/>
            <family val="2"/>
          </rPr>
          <t xml:space="preserve">Synthetic sensitivity driver; varies the AI initiative realization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E9" authorId="0">
      <text>
        <r>
          <rPr>
            <sz val="10"/>
            <rFont val="Arial"/>
            <family val="2"/>
          </rPr>
          <t xml:space="preserve">Synthetic sensitivity point.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E22" authorId="0">
      <text>
        <r>
          <rPr>
            <sz val="10"/>
            <rFont val="Arial"/>
            <family val="2"/>
          </rPr>
          <t xml:space="preserve">Synthetic sensitivity point for AI avoided-cost realization.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F9" authorId="0">
      <text>
        <r>
          <rPr>
            <sz val="10"/>
            <rFont val="Arial"/>
            <family val="2"/>
          </rPr>
          <t xml:space="preserve">Synthetic sensitivity point.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F22" authorId="0">
      <text>
        <r>
          <rPr>
            <sz val="10"/>
            <rFont val="Arial"/>
            <family val="2"/>
          </rPr>
          <t xml:space="preserve">Synthetic sensitivity point for AI avoided-cost realization.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G9" authorId="0">
      <text>
        <r>
          <rPr>
            <sz val="10"/>
            <rFont val="Arial"/>
            <family val="2"/>
          </rPr>
          <t xml:space="preserve">Synthetic sensitivity point.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G22" authorId="0">
      <text>
        <r>
          <rPr>
            <sz val="10"/>
            <rFont val="Arial"/>
            <family val="2"/>
          </rPr>
          <t xml:space="preserve">Synthetic sensitivity point for AI avoided-cost realization.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H9" authorId="0">
      <text>
        <r>
          <rPr>
            <sz val="10"/>
            <rFont val="Arial"/>
            <family val="2"/>
          </rPr>
          <t xml:space="preserve">Synthetic sensitivity point.</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H22" authorId="0">
      <text>
        <r>
          <rPr>
            <sz val="10"/>
            <rFont val="Arial"/>
            <family val="2"/>
          </rPr>
          <t xml:space="preserve">Synthetic sensitivity point for AI avoided-cost realization.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J10" authorId="0">
      <text>
        <r>
          <rPr>
            <sz val="10"/>
            <rFont val="Arial"/>
            <family val="2"/>
          </rPr>
          <t xml:space="preserve">Synthetic illustrative exit EBITDA sensitivity factor.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J11" authorId="0">
      <text>
        <r>
          <rPr>
            <sz val="10"/>
            <rFont val="Arial"/>
            <family val="2"/>
          </rPr>
          <t xml:space="preserve">Synthetic illustrative exit EBITDA sensitivity factor.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J12" authorId="0">
      <text>
        <r>
          <rPr>
            <sz val="10"/>
            <rFont val="Arial"/>
            <family val="2"/>
          </rPr>
          <t xml:space="preserve">Synthetic illustrative exit EBITDA sensitivity factor.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J13" authorId="0">
      <text>
        <r>
          <rPr>
            <sz val="10"/>
            <rFont val="Arial"/>
            <family val="2"/>
          </rPr>
          <t xml:space="preserve">Synthetic illustrative exit EBITDA sensitivity factor.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 ref="J14" authorId="0">
      <text>
        <r>
          <rPr>
            <sz val="10"/>
            <rFont val="Arial"/>
            <family val="2"/>
          </rPr>
          <t xml:space="preserve">Synthetic illustrative exit EBITDA sensitivity factor.</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-354</xdr:colOff>
                <xdr:row>2</xdr:row>
                <xdr:rowOff>41</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Synthetic Model Builder</author>
  </authors>
  <commentList>
    <comment ref="D8"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9"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10"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11"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12"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13"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14"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15"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16"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17"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18"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19"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20"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21"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22"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23"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24"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25"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26"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27"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28"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29"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30"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31"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32"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33"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34"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35"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36"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37"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38"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39"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40"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41"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42"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43"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44"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45"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46"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47"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48"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49"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50"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51"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52"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53"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54"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55"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56"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57"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58"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59"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60"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61"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62"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63"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64"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65"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66"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D67" authorId="0">
      <text>
        <r>
          <rPr>
            <sz val="10"/>
            <rFont val="Arial"/>
            <family val="2"/>
          </rPr>
          <t xml:space="preserve">Synthetic period label.</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8"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9"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10"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11"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12"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13"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14"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15"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16"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17"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18"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19"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20"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21"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22"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23"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24"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25"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26"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27"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28"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29"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30"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31"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32"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33"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34"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35"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36"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37"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38"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39"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40"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41"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42"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43"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44"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45"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46"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47"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48"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49"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50"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51"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52"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53"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54"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55"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56"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57"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58"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59"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60"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61"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62"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63"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64"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65"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66"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E67" authorId="0">
      <text>
        <r>
          <rPr>
            <sz val="10"/>
            <rFont val="Arial"/>
            <family val="2"/>
          </rPr>
          <t xml:space="preserve">Synthetic accountable owner role.</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8"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9"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10"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11"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12"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13"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14"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15"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16"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17"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18"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19"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20"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21"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22"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23"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24"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25"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26"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27"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28"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29"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30"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31"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32"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33"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34"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35"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36"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37"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38"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39"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40"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41"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42"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43"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44"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45"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46"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47"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48"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49"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50"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51"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52"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53"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54"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55"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56"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57"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58"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59"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60"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61"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62"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63"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64"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65"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66"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F67" authorId="0">
      <text>
        <r>
          <rPr>
            <sz val="10"/>
            <rFont val="Arial"/>
            <family val="2"/>
          </rPr>
          <t xml:space="preserve">Synthetic KPI definition.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48"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49"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50"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51"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52"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53"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54"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55"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56"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57"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58"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59"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60"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61"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62"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63"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64"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65"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66"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K67" authorId="0">
      <text>
        <r>
          <rPr>
            <sz val="10"/>
            <rFont val="Arial"/>
            <family val="2"/>
          </rPr>
          <t xml:space="preserve">Synthetic AI output-quality measure; illustrative only.</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8"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9"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10"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11"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12"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13"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14"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15"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16"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17"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18"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19"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20"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21"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22"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23"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24"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25"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26"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27"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28"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29"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30"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31"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32"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33"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34"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35"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36"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37"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38"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39"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40"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41"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42"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43"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44"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45"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46"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47"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48"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49"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50"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51"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52"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53"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54"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55"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56"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57"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58"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59"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60"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61"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62"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63"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64"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65"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66"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N67" authorId="0">
      <text>
        <r>
          <rPr>
            <sz val="10"/>
            <rFont val="Arial"/>
            <family val="2"/>
          </rPr>
          <t xml:space="preserve">Synthetic quarterly phasing of annual adoption/ramp.</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8"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9"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10"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11"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12"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13"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14"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15"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16"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17"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18"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19"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20"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21"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22"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23"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24"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25"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26"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27"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28"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29"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30"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31"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32"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33"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34"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35"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36"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37"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38"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39"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40"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41"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42"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43"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44"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45"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46"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47"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48"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49"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50"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51"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52"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53"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54"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55"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56"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57"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58"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59"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60"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61"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62"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63"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64"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65"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66"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O67" authorId="0">
      <text>
        <r>
          <rPr>
            <sz val="10"/>
            <rFont val="Arial"/>
            <family val="2"/>
          </rPr>
          <t xml:space="preserve">Synthetic actual attainment factor against plan.</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8"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9"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10"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11"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12"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13"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14"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15"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16"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17"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18"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19"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20"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21"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22"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23"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24"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25"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26"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27"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28"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29"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30"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31"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32"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33"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34"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35"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36"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37"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38"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39"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40"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41"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42"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43"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44"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45"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46"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47"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48"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49"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50"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51"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52"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53"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54"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55"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56"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57"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58"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59"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60"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61"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62"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63"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64"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65"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66"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 ref="P67" authorId="0">
      <text>
        <r>
          <rPr>
            <sz val="10"/>
            <rFont val="Arial"/>
            <family val="2"/>
          </rPr>
          <t xml:space="preserve">Model ownership year index.</t>
        </r>
      </text>
      <mc:AlternateContent>
        <mc:Choice Requires="v2">
          <commentPr autoFill="true" autoScale="false" colHidden="false" locked="false" rowHidden="false" textHAlign="justify" textVAlign="top">
            <anchor moveWithCells="false" sizeWithCells="false">
              <xdr:from>
                <xdr:col>2</xdr:col>
                <xdr:colOff>35</xdr:colOff>
                <xdr:row>0</xdr:row>
                <xdr:rowOff>5</xdr:rowOff>
              </xdr:from>
              <xdr:to>
                <xdr:col>3</xdr:col>
                <xdr:colOff>-21</xdr:colOff>
                <xdr:row>2</xdr:row>
                <xdr:rowOff>41</xdr:rowOff>
              </xdr:to>
            </anchor>
          </commentPr>
        </mc:Choice>
        <mc:Fallback/>
      </mc:AlternateContent>
    </comment>
  </commentList>
</comments>
</file>

<file path=xl/sharedStrings.xml><?xml version="1.0" encoding="utf-8"?>
<sst xmlns="http://schemas.openxmlformats.org/spreadsheetml/2006/main" count="914" uniqueCount="389">
  <si>
    <t xml:space="preserve">Synthetic value creation and returns model</t>
  </si>
  <si>
    <t xml:space="preserve">All company names, people roles, operating data, targets, and results are synthetic or illustrative. USD millions unless stated. No realized value is claimed.</t>
  </si>
  <si>
    <t xml:space="preserve">NimbleBridge Services (synthetic)</t>
  </si>
  <si>
    <t xml:space="preserve">Purpose</t>
  </si>
  <si>
    <t xml:space="preserve">Explore how a small set of operating initiatives could affect EBITDA, cash generation, debt paydown, and sponsor returns over a five-year ownership period.</t>
  </si>
  <si>
    <t xml:space="preserve">Open Dashboard first. Select a scenario on Controls. Change initiative toggles or assumptions in the yellow cells. Review formula steps on the build tabs and PASS/FAIL checks at the end.</t>
  </si>
  <si>
    <t xml:space="preserve">Workbook navigation</t>
  </si>
  <si>
    <t xml:space="preserve">Input and formula legend</t>
  </si>
  <si>
    <t xml:space="preserve">Dashboard</t>
  </si>
  <si>
    <t xml:space="preserve">Editable input</t>
  </si>
  <si>
    <t xml:space="preserve">Blue font and pale yellow fill</t>
  </si>
  <si>
    <t xml:space="preserve">Controls</t>
  </si>
  <si>
    <t xml:space="preserve">Same-sheet formula</t>
  </si>
  <si>
    <t xml:space="preserve">Black font</t>
  </si>
  <si>
    <t xml:space="preserve">Historical &amp; Baseline</t>
  </si>
  <si>
    <t xml:space="preserve">Linked formula</t>
  </si>
  <si>
    <t xml:space="preserve">Green font</t>
  </si>
  <si>
    <t xml:space="preserve">Initiatives</t>
  </si>
  <si>
    <t xml:space="preserve">Check</t>
  </si>
  <si>
    <t xml:space="preserve">Green PASS or red FAIL</t>
  </si>
  <si>
    <t xml:space="preserve">Operating Model</t>
  </si>
  <si>
    <t xml:space="preserve">Cash Flow &amp; Debt</t>
  </si>
  <si>
    <t xml:space="preserve">Returns</t>
  </si>
  <si>
    <t xml:space="preserve">Sensitivity</t>
  </si>
  <si>
    <t xml:space="preserve">VCP Tracker</t>
  </si>
  <si>
    <t xml:space="preserve">Checks &amp; Definitions</t>
  </si>
  <si>
    <t xml:space="preserve">Scenario changes operating growth, margin, initiative adoption, timing, realization, implementation costs, and exit multiple. The active forecast uses one selector and one calculation engine.</t>
  </si>
  <si>
    <t xml:space="preserve">Value creation plan and sponsor returns</t>
  </si>
  <si>
    <t xml:space="preserve">NimbleBridge Services (synthetic). All values and plan tracking are illustrative. Selected scenario results update from workbook controls.</t>
  </si>
  <si>
    <t xml:space="preserve">Selected case</t>
  </si>
  <si>
    <t xml:space="preserve">Return snapshot</t>
  </si>
  <si>
    <t xml:space="preserve">Entry EBITDA ($m)</t>
  </si>
  <si>
    <t xml:space="preserve">Entry enterprise value ($m)</t>
  </si>
  <si>
    <t xml:space="preserve">Sponsor equity at entry ($m)</t>
  </si>
  <si>
    <t xml:space="preserve">Exit EBITDA ($m)</t>
  </si>
  <si>
    <t xml:space="preserve">Exit enterprise value ($m)</t>
  </si>
  <si>
    <t xml:space="preserve">Exit net debt ($m)</t>
  </si>
  <si>
    <t xml:space="preserve">Sponsor MOIC</t>
  </si>
  <si>
    <t xml:space="preserve">Sponsor IRR</t>
  </si>
  <si>
    <t xml:space="preserve">EBITDA bridge, FY2025 baseline to FY2030 exit</t>
  </si>
  <si>
    <t xml:space="preserve">FY2025 baseline EBITDA ($m)</t>
  </si>
  <si>
    <t xml:space="preserve">Core revenue and margin change ($m)</t>
  </si>
  <si>
    <t xml:space="preserve">Pricing and mix contribution ($m)</t>
  </si>
  <si>
    <t xml:space="preserve">Commercial efficiency contribution ($m)</t>
  </si>
  <si>
    <t xml:space="preserve">AI finance automation contribution ($m)</t>
  </si>
  <si>
    <t xml:space="preserve">FY2030 exit EBITDA ($m)</t>
  </si>
  <si>
    <t xml:space="preserve">Enterprise value bridge at entry multiple</t>
  </si>
  <si>
    <t xml:space="preserve">EBITDA change at entry multiple ($m)</t>
  </si>
  <si>
    <t xml:space="preserve">Exit multiple change ($m)</t>
  </si>
  <si>
    <t xml:space="preserve">Operating trend</t>
  </si>
  <si>
    <t xml:space="preserve">Revenue ($m)</t>
  </si>
  <si>
    <t xml:space="preserve">EBITDA ($m)</t>
  </si>
  <si>
    <t xml:space="preserve">Value plan tracker summary</t>
  </si>
  <si>
    <t xml:space="preserve">Quarterly initiative records</t>
  </si>
  <si>
    <t xml:space="preserve">Green RAG records</t>
  </si>
  <si>
    <t xml:space="preserve">Amber RAG records</t>
  </si>
  <si>
    <t xml:space="preserve">Red RAG records</t>
  </si>
  <si>
    <t xml:space="preserve">AI expand-gate records</t>
  </si>
  <si>
    <t xml:space="preserve">Selected-case sensitivities</t>
  </si>
  <si>
    <t xml:space="preserve">MOIC by exit EBITDA and multiple</t>
  </si>
  <si>
    <t xml:space="preserve">MOIC by AI realization and exit multiple</t>
  </si>
  <si>
    <t xml:space="preserve">Risks and interpretation</t>
  </si>
  <si>
    <t xml:space="preserve">Synthetic inputs are not diligence evidence. Adoption, quality, churn, savings realization, margin, cash tax, working capital, financing, and exit valuation need independent validation. Exit EBITDA changes affect returns; the value bridge separates EBITDA improvement from multiple change. No value is represented as realized.</t>
  </si>
  <si>
    <t xml:space="preserve">Scenario and model controls</t>
  </si>
  <si>
    <t xml:space="preserve">All values shown are synthetic assumptions. Change blue-font yellow cells. Currency: USD millions except per-hour cost, hours, and unit conversion.</t>
  </si>
  <si>
    <t xml:space="preserve">Active case and initiative toggles</t>
  </si>
  <si>
    <t xml:space="preserve">Base</t>
  </si>
  <si>
    <t xml:space="preserve">Pricing and mix</t>
  </si>
  <si>
    <t xml:space="preserve">On</t>
  </si>
  <si>
    <t xml:space="preserve">Commercial efficiency</t>
  </si>
  <si>
    <t xml:space="preserve">AI finance automation</t>
  </si>
  <si>
    <t xml:space="preserve">Scenario assumptions</t>
  </si>
  <si>
    <t xml:space="preserve">Case</t>
  </si>
  <si>
    <t xml:space="preserve">Year 1 growth</t>
  </si>
  <si>
    <t xml:space="preserve">Year 2 growth</t>
  </si>
  <si>
    <t xml:space="preserve">Year 3 growth</t>
  </si>
  <si>
    <t xml:space="preserve">Year 4 growth</t>
  </si>
  <si>
    <t xml:space="preserve">Year 5 growth</t>
  </si>
  <si>
    <t xml:space="preserve">Annual core margin lift</t>
  </si>
  <si>
    <t xml:space="preserve">Exit multiple</t>
  </si>
  <si>
    <t xml:space="preserve">Downside</t>
  </si>
  <si>
    <t xml:space="preserve">Upside</t>
  </si>
  <si>
    <t xml:space="preserve">Transaction, operating, and cash flow assumptions</t>
  </si>
  <si>
    <t xml:space="preserve">Entry EBITDA multiple</t>
  </si>
  <si>
    <t xml:space="preserve">Senior debt / entry EBITDA</t>
  </si>
  <si>
    <t xml:space="preserve">Entry transaction fees / entry EV</t>
  </si>
  <si>
    <t xml:space="preserve">Exit fees / exit EV</t>
  </si>
  <si>
    <t xml:space="preserve">Cash tax rate</t>
  </si>
  <si>
    <t xml:space="preserve">Cash interest rate on opening debt</t>
  </si>
  <si>
    <t xml:space="preserve">Depreciation / revenue</t>
  </si>
  <si>
    <t xml:space="preserve">Capital expenditure / revenue</t>
  </si>
  <si>
    <t xml:space="preserve">Working capital investment / revenue change</t>
  </si>
  <si>
    <t xml:space="preserve">Mandatory amortization / original debt</t>
  </si>
  <si>
    <t xml:space="preserve">Cash sweep / positive cash after mandatory amortization</t>
  </si>
  <si>
    <t xml:space="preserve">Dollars per USD million</t>
  </si>
  <si>
    <t xml:space="preserve">Interim sponsor distribution per forecast year</t>
  </si>
  <si>
    <t xml:space="preserve">Model check tolerance ($m)</t>
  </si>
  <si>
    <t xml:space="preserve">Required return formula count</t>
  </si>
  <si>
    <t xml:space="preserve">Visible value-plan status thresholds</t>
  </si>
  <si>
    <t xml:space="preserve">Green variance threshold (actual less plan)</t>
  </si>
  <si>
    <t xml:space="preserve">Amber variance threshold (actual less plan)</t>
  </si>
  <si>
    <t xml:space="preserve">AI minimum adoption for expand gate</t>
  </si>
  <si>
    <t xml:space="preserve">AI minimum quality for expand gate</t>
  </si>
  <si>
    <t xml:space="preserve">AI gate interpretation</t>
  </si>
  <si>
    <t xml:space="preserve">Expand / Fix / Pause is a governance signal only; it does not change the forecast. If adoption and quality both fail, Pause takes precedence.</t>
  </si>
  <si>
    <t xml:space="preserve">Formula conventions</t>
  </si>
  <si>
    <t xml:space="preserve">Cash interest uses opening gross debt to avoid circularity. Excess cash is swept at the selected percentage and the remainder stays on balance sheet. No interim sponsor distributions are assumed.</t>
  </si>
  <si>
    <t xml:space="preserve">Synthetic historical results and entry baseline</t>
  </si>
  <si>
    <t xml:space="preserve">Illustrative historical data only. The fictional company did not report these figures. USD millions.</t>
  </si>
  <si>
    <t xml:space="preserve">EBITDA margin</t>
  </si>
  <si>
    <t xml:space="preserve">Entry baseline is FY2025 revenue and EBITDA. Forecast Year 1 begins in 2026.</t>
  </si>
  <si>
    <t xml:space="preserve">Initiative assumptions and execution ramp</t>
  </si>
  <si>
    <t xml:space="preserve">All initiative assumptions, roles, KPIs, dependencies, and outcomes are synthetic and illustrative. USD millions unless stated.</t>
  </si>
  <si>
    <t xml:space="preserve">Scenario rows feed the single active forecast. Ramp is the portion of full annual adoption/benefit reached in each ownership year.</t>
  </si>
  <si>
    <t xml:space="preserve">Initiative</t>
  </si>
  <si>
    <t xml:space="preserve">Scenario</t>
  </si>
  <si>
    <t xml:space="preserve">Start year</t>
  </si>
  <si>
    <t xml:space="preserve">Realization</t>
  </si>
  <si>
    <t xml:space="preserve">Implementation cost ($m)</t>
  </si>
  <si>
    <t xml:space="preserve">Annual run cost ($m)</t>
  </si>
  <si>
    <t xml:space="preserve">Confidence</t>
  </si>
  <si>
    <t xml:space="preserve">Dependency</t>
  </si>
  <si>
    <t xml:space="preserve">Year 1 ramp</t>
  </si>
  <si>
    <t xml:space="preserve">Year 2 ramp</t>
  </si>
  <si>
    <t xml:space="preserve">Year 3 ramp</t>
  </si>
  <si>
    <t xml:space="preserve">Year 4 ramp</t>
  </si>
  <si>
    <t xml:space="preserve">Year 5 ramp</t>
  </si>
  <si>
    <t xml:space="preserve">Renewal adoption and churn within guardrail</t>
  </si>
  <si>
    <t xml:space="preserve">Renewal book and sales enablement</t>
  </si>
  <si>
    <t xml:space="preserve">Spend baseline and accountable cost owners</t>
  </si>
  <si>
    <t xml:space="preserve">Validated savings and service levels</t>
  </si>
  <si>
    <t xml:space="preserve">Procurement and process-owner capacity</t>
  </si>
  <si>
    <t xml:space="preserve">Data quality, adoption, and process controls</t>
  </si>
  <si>
    <t xml:space="preserve">Quality remediation before workflow expansion</t>
  </si>
  <si>
    <t xml:space="preserve">Pilot quality and finance-team adoption</t>
  </si>
  <si>
    <t xml:space="preserve">Initiative benefit basis</t>
  </si>
  <si>
    <t xml:space="preserve">Full annual gross contribution ($m)</t>
  </si>
  <si>
    <t xml:space="preserve">Churn offset ($m)</t>
  </si>
  <si>
    <t xml:space="preserve">Addressable hours</t>
  </si>
  <si>
    <t xml:space="preserve">Loaded cost ($/hour)</t>
  </si>
  <si>
    <t xml:space="preserve">Avoidable share</t>
  </si>
  <si>
    <t xml:space="preserve">KPI</t>
  </si>
  <si>
    <t xml:space="preserve">Owner role</t>
  </si>
  <si>
    <t xml:space="preserve">Interpretation</t>
  </si>
  <si>
    <t xml:space="preserve">Renewal adoption (%)</t>
  </si>
  <si>
    <t xml:space="preserve">Commercial workstream owner (synthetic role)</t>
  </si>
  <si>
    <t xml:space="preserve">Gross incremental contribution less churn offset; figures are synthetic.</t>
  </si>
  <si>
    <t xml:space="preserve">Validated savings delivered (%)</t>
  </si>
  <si>
    <t xml:space="preserve">Operations workstream owner (synthetic role)</t>
  </si>
  <si>
    <t xml:space="preserve">Gross annual cost opportunity before realization; figures are synthetic.</t>
  </si>
  <si>
    <t xml:space="preserve">Eligible workflow adoption (%)</t>
  </si>
  <si>
    <t xml:space="preserve">Finance transformation owner (synthetic role)</t>
  </si>
  <si>
    <t xml:space="preserve">Hours released convert to EBITDA only through avoidable cost share and realization.</t>
  </si>
  <si>
    <t xml:space="preserve">Pricing benefit is incremental gross contribution after the displayed churn offset. Commercial savings are treated as EBITDA contributions. AI capacity is converted to avoided contractor or hiring cost only for the displayed avoidable share and realization rate; remaining hours are not valued as EBITDA.</t>
  </si>
  <si>
    <t xml:space="preserve">Operating model and EBITDA bridge</t>
  </si>
  <si>
    <t xml:space="preserve">Selected scenario links to Controls. Annual forecast in USD millions, except capacity hours. All inputs and outputs are synthetic or illustrative.</t>
  </si>
  <si>
    <t xml:space="preserve">Ownership year</t>
  </si>
  <si>
    <t xml:space="preserve">Core forecast</t>
  </si>
  <si>
    <t xml:space="preserve">Selected revenue growth</t>
  </si>
  <si>
    <t xml:space="preserve">Core revenue ($m)</t>
  </si>
  <si>
    <t xml:space="preserve">Core EBITDA margin</t>
  </si>
  <si>
    <t xml:space="preserve">Core EBITDA before initiatives ($m)</t>
  </si>
  <si>
    <t xml:space="preserve">Pricing detail</t>
  </si>
  <si>
    <t xml:space="preserve">Pricing ramp</t>
  </si>
  <si>
    <t xml:space="preserve">Pricing contribution before costs ($m)</t>
  </si>
  <si>
    <t xml:space="preserve">Pricing implementation and annual run costs ($m)</t>
  </si>
  <si>
    <t xml:space="preserve">Pricing and mix net EBITDA contribution ($m)</t>
  </si>
  <si>
    <t xml:space="preserve">Commercial detail</t>
  </si>
  <si>
    <t xml:space="preserve">Commercial efficiency ramp</t>
  </si>
  <si>
    <t xml:space="preserve">Commercial efficiency gross savings ($m)</t>
  </si>
  <si>
    <t xml:space="preserve">Commercial implementation and annual run costs ($m)</t>
  </si>
  <si>
    <t xml:space="preserve">Commercial efficiency net EBITDA contribution ($m)</t>
  </si>
  <si>
    <t xml:space="preserve">AI capacity and benefit</t>
  </si>
  <si>
    <t xml:space="preserve">AI workflow adoption ramp</t>
  </si>
  <si>
    <t xml:space="preserve">AI capacity released (hours)</t>
  </si>
  <si>
    <t xml:space="preserve">AI cost value before realization ($m)</t>
  </si>
  <si>
    <t xml:space="preserve">AI avoided-cost savings after realization ($m)</t>
  </si>
  <si>
    <t xml:space="preserve">AI implementation cost ($m)</t>
  </si>
  <si>
    <t xml:space="preserve">AI annual run cost ($m)</t>
  </si>
  <si>
    <t xml:space="preserve">AI finance automation net EBITDA contribution ($m)</t>
  </si>
  <si>
    <t xml:space="preserve">Consolidated EBITDA</t>
  </si>
  <si>
    <t xml:space="preserve">Net initiative contribution ($m)</t>
  </si>
  <si>
    <t xml:space="preserve">Total EBITDA ($m)</t>
  </si>
  <si>
    <t xml:space="preserve">Total EBITDA margin</t>
  </si>
  <si>
    <t xml:space="preserve">Cash flow, debt paydown, and retained cash</t>
  </si>
  <si>
    <t xml:space="preserve">Selected scenario, annual periods, USD millions. Interest is calculated on opening gross debt to avoid circular formulas. All figures are synthetic.</t>
  </si>
  <si>
    <t xml:space="preserve">Depreciation ($m)</t>
  </si>
  <si>
    <t xml:space="preserve">EBIT ($m)</t>
  </si>
  <si>
    <t xml:space="preserve">Opening gross debt ($m)</t>
  </si>
  <si>
    <t xml:space="preserve">Cash interest ($m)</t>
  </si>
  <si>
    <t xml:space="preserve">Taxable earnings after interest ($m)</t>
  </si>
  <si>
    <t xml:space="preserve">Cash tax ($m)</t>
  </si>
  <si>
    <t xml:space="preserve">Capital expenditure ($m)</t>
  </si>
  <si>
    <t xml:space="preserve">Working capital investment ($m)</t>
  </si>
  <si>
    <t xml:space="preserve">Cash flow before debt service ($m)</t>
  </si>
  <si>
    <t xml:space="preserve">Opening cash ($m)</t>
  </si>
  <si>
    <t xml:space="preserve">Mandatory amortization ($m)</t>
  </si>
  <si>
    <t xml:space="preserve">Cash available after mandatory amortization ($m)</t>
  </si>
  <si>
    <t xml:space="preserve">Cash sweep ($m)</t>
  </si>
  <si>
    <t xml:space="preserve">Ending gross debt ($m)</t>
  </si>
  <si>
    <t xml:space="preserve">Ending cash ($m)</t>
  </si>
  <si>
    <t xml:space="preserve">Net debt at year-end ($m)</t>
  </si>
  <si>
    <t xml:space="preserve">Debt and cash definitions</t>
  </si>
  <si>
    <t xml:space="preserve">Ending gross debt equals opening debt less mandatory amortization and cash sweep. Ending cash equals opening cash plus cash flow before debt service, less mandatory amortization and cash sweep. Net debt equals gross debt less cash.</t>
  </si>
  <si>
    <t xml:space="preserve">Entry-to-exit sponsor returns</t>
  </si>
  <si>
    <t xml:space="preserve">One selected scenario. Annual dated cash flows in USD millions. Returns are formula-driven and illustrative.</t>
  </si>
  <si>
    <t xml:space="preserve">Cash flow date</t>
  </si>
  <si>
    <t xml:space="preserve">Sponsor cash flow ($m)</t>
  </si>
  <si>
    <t xml:space="preserve">Entry transaction fees ($m)</t>
  </si>
  <si>
    <t xml:space="preserve">Senior debt at entry ($m)</t>
  </si>
  <si>
    <t xml:space="preserve">Exit EBITDA multiple</t>
  </si>
  <si>
    <t xml:space="preserve">Exit fees ($m)</t>
  </si>
  <si>
    <t xml:space="preserve">Exit gross debt ($m)</t>
  </si>
  <si>
    <t xml:space="preserve">Exit equity proceeds ($m)</t>
  </si>
  <si>
    <t xml:space="preserve">Sponsor IRR from dated cash flows</t>
  </si>
  <si>
    <t xml:space="preserve">Returns calculation notes</t>
  </si>
  <si>
    <t xml:space="preserve">Entry enterprise value = FY2025 EBITDA × entry EBITDA multiple.</t>
  </si>
  <si>
    <t xml:space="preserve">Returns sensitivity</t>
  </si>
  <si>
    <t xml:space="preserve">Formula grids. The first grid holds selected-case net debt constant. The second recomputes operating cash, debt paydown, and retained cash for each AI realization input. USD millions.</t>
  </si>
  <si>
    <t xml:space="preserve">Exit multiple × exit EBITDA, MOIC (selected-case net debt held fixed)</t>
  </si>
  <si>
    <t xml:space="preserve">Direction: MOIC rises left to right with exit multiple and top to bottom with exit EBITDA.</t>
  </si>
  <si>
    <t xml:space="preserve">Exit EBITDA factor</t>
  </si>
  <si>
    <t xml:space="preserve">At each grid point, exit enterprise value equals exit EBITDA × exit multiple. Exit fees and selected-case net debt are then deducted before dividing by sponsor equity.</t>
  </si>
  <si>
    <t xml:space="preserve">Exit multiple × AI cost-realization assumption, MOIC</t>
  </si>
  <si>
    <t xml:space="preserve">Direction: MOIC rises with exit multiple and AI cost realization.</t>
  </si>
  <si>
    <t xml:space="preserve">This grid changes only AI cost realization. It recalculates annual taxes, cash flow, mandatory amortization, cash sweep, ending debt, and retained cash at each realization point. Other initiative assumptions stay at the selected case. The 65% column and 10.0x row are the selected Base assumptions.</t>
  </si>
  <si>
    <t xml:space="preserve">AI realization sensitivity calculation detail</t>
  </si>
  <si>
    <t xml:space="preserve">AI cost realization</t>
  </si>
  <si>
    <t xml:space="preserve">Synthetic axis values</t>
  </si>
  <si>
    <t xml:space="preserve">AI realization case 1</t>
  </si>
  <si>
    <t xml:space="preserve">Adjusted total EBITDA ($m)</t>
  </si>
  <si>
    <t xml:space="preserve">Interest ($m)</t>
  </si>
  <si>
    <t xml:space="preserve">Cash taxes ($m)</t>
  </si>
  <si>
    <t xml:space="preserve">Opening debt ($m)</t>
  </si>
  <si>
    <t xml:space="preserve">AI realization case 2</t>
  </si>
  <si>
    <t xml:space="preserve">AI realization case 3</t>
  </si>
  <si>
    <t xml:space="preserve">AI realization case 4</t>
  </si>
  <si>
    <t xml:space="preserve">AI realization case 5</t>
  </si>
  <si>
    <t xml:space="preserve">Quarterly value creation plan tracker</t>
  </si>
  <si>
    <t xml:space="preserve">Synthetic plan and synthetic actuals illustrate ownership, execution measures, variance, RAG status, and next actions. USD unless KPI states percent.</t>
  </si>
  <si>
    <t xml:space="preserve">RAG thresholds: Green at or above the green variance limit; Amber between the green and amber limits; Red below the amber limit.</t>
  </si>
  <si>
    <t xml:space="preserve">AI Expand / Fix / Pause is a governance signal only and does not change the forecast. If adoption and quality both fail, Pause takes precedence.</t>
  </si>
  <si>
    <t xml:space="preserve">Quarter</t>
  </si>
  <si>
    <t xml:space="preserve">Plan</t>
  </si>
  <si>
    <t xml:space="preserve">Synthetic actual</t>
  </si>
  <si>
    <t xml:space="preserve">Variance (actual less plan)</t>
  </si>
  <si>
    <t xml:space="preserve">RAG</t>
  </si>
  <si>
    <t xml:space="preserve">Quality KPI</t>
  </si>
  <si>
    <t xml:space="preserve">AI gate</t>
  </si>
  <si>
    <t xml:space="preserve">Next action</t>
  </si>
  <si>
    <t xml:space="preserve">Quarter phasing</t>
  </si>
  <si>
    <t xml:space="preserve">Synthetic actual input</t>
  </si>
  <si>
    <t xml:space="preserve">Year index</t>
  </si>
  <si>
    <t xml:space="preserve">RAG threshold note</t>
  </si>
  <si>
    <t xml:space="preserve">2026 Q1</t>
  </si>
  <si>
    <t xml:space="preserve">Renewal adoption (% of eligible renewals)</t>
  </si>
  <si>
    <t xml:space="preserve">n.a.</t>
  </si>
  <si>
    <t xml:space="preserve">Review adoption barrier and next renewal cohort</t>
  </si>
  <si>
    <t xml:space="preserve">Synthetic plan and sample tracking; not measured company results</t>
  </si>
  <si>
    <t xml:space="preserve">2026 Q2</t>
  </si>
  <si>
    <t xml:space="preserve">2026 Q3</t>
  </si>
  <si>
    <t xml:space="preserve">2026 Q4</t>
  </si>
  <si>
    <t xml:space="preserve">2027 Q1</t>
  </si>
  <si>
    <t xml:space="preserve">2027 Q2</t>
  </si>
  <si>
    <t xml:space="preserve">2027 Q3</t>
  </si>
  <si>
    <t xml:space="preserve">2027 Q4</t>
  </si>
  <si>
    <t xml:space="preserve">2028 Q1</t>
  </si>
  <si>
    <t xml:space="preserve">2028 Q2</t>
  </si>
  <si>
    <t xml:space="preserve">2028 Q3</t>
  </si>
  <si>
    <t xml:space="preserve">2028 Q4</t>
  </si>
  <si>
    <t xml:space="preserve">2029 Q1</t>
  </si>
  <si>
    <t xml:space="preserve">2029 Q2</t>
  </si>
  <si>
    <t xml:space="preserve">2029 Q3</t>
  </si>
  <si>
    <t xml:space="preserve">2029 Q4</t>
  </si>
  <si>
    <t xml:space="preserve">2030 Q1</t>
  </si>
  <si>
    <t xml:space="preserve">2030 Q2</t>
  </si>
  <si>
    <t xml:space="preserve">2030 Q3</t>
  </si>
  <si>
    <t xml:space="preserve">2030 Q4</t>
  </si>
  <si>
    <t xml:space="preserve">Savings delivered (% of run-rate target)</t>
  </si>
  <si>
    <t xml:space="preserve">Confirm validated savings and service guardrails</t>
  </si>
  <si>
    <t xml:space="preserve">Workflow adoption (% of eligible workflows)</t>
  </si>
  <si>
    <t xml:space="preserve">Expand only after adoption and quality gates; otherwise fix or pause</t>
  </si>
  <si>
    <t xml:space="preserve">Model checks, metric definitions, and assumption register</t>
  </si>
  <si>
    <t xml:space="preserve">Checks are diagnostic outputs only and do not feed assumptions, builds, or dashboard results. All check inputs and rules are synthetic or illustrative.</t>
  </si>
  <si>
    <t xml:space="preserve">Integrity checks</t>
  </si>
  <si>
    <t xml:space="preserve">Formula result</t>
  </si>
  <si>
    <t xml:space="preserve">Status</t>
  </si>
  <si>
    <t xml:space="preserve">Reference / interpretation</t>
  </si>
  <si>
    <t xml:space="preserve">Entry sponsor equity bridge</t>
  </si>
  <si>
    <t xml:space="preserve">Entry EV plus fees less debt equals sponsor equity.</t>
  </si>
  <si>
    <t xml:space="preserve">Exit sponsor proceeds bridge</t>
  </si>
  <si>
    <t xml:space="preserve">Exit EV less fee and debt plus retained cash equals exit equity proceeds.</t>
  </si>
  <si>
    <t xml:space="preserve">Dashboard enterprise value bridge</t>
  </si>
  <si>
    <t xml:space="preserve">Entry EV plus EBITDA change at entry multiple plus multiple change equals exit EV.</t>
  </si>
  <si>
    <t xml:space="preserve">Cash roll-forward, all forecast years</t>
  </si>
  <si>
    <t xml:space="preserve">Opening cash plus FCF less amortization and sweep equals ending cash in each year.</t>
  </si>
  <si>
    <t xml:space="preserve">Debt roll-forward, all forecast years</t>
  </si>
  <si>
    <t xml:space="preserve">Opening debt less amortization and sweep equals ending debt in each year.</t>
  </si>
  <si>
    <t xml:space="preserve">No negative ending gross debt</t>
  </si>
  <si>
    <t xml:space="preserve">All years must be zero or positive.</t>
  </si>
  <si>
    <t xml:space="preserve">No negative ending cash</t>
  </si>
  <si>
    <t xml:space="preserve">All years must be zero or positive; a negative value signals an unmodeled funding need.</t>
  </si>
  <si>
    <t xml:space="preserve">Pricing off removes contribution</t>
  </si>
  <si>
    <t xml:space="preserve">If Off, all pricing contributions must be zero.</t>
  </si>
  <si>
    <t xml:space="preserve">Commercial off removes contribution</t>
  </si>
  <si>
    <t xml:space="preserve">If Off, all commercial contributions must be zero.</t>
  </si>
  <si>
    <t xml:space="preserve">AI off removes contribution</t>
  </si>
  <si>
    <t xml:space="preserve">If Off, all AI contributions must be zero.</t>
  </si>
  <si>
    <t xml:space="preserve">Selected scenario maps to controls</t>
  </si>
  <si>
    <t xml:space="preserve">Selected case must match exactly one scenario row.</t>
  </si>
  <si>
    <t xml:space="preserve">Base case output formulas present</t>
  </si>
  <si>
    <t xml:space="preserve">MOIC and XIRR are formula outputs.</t>
  </si>
  <si>
    <t xml:space="preserve">KPI formula references</t>
  </si>
  <si>
    <t xml:space="preserve">Dashboard KPI</t>
  </si>
  <si>
    <t xml:space="preserve">Cell reference</t>
  </si>
  <si>
    <t xml:space="preserve">Definition</t>
  </si>
  <si>
    <t xml:space="preserve">Entry EBITDA</t>
  </si>
  <si>
    <t xml:space="preserve">Dashboard!D8</t>
  </si>
  <si>
    <t xml:space="preserve">Synthetic FY2025 EBITDA from Historical &amp; Baseline.</t>
  </si>
  <si>
    <t xml:space="preserve">Entry EV</t>
  </si>
  <si>
    <t xml:space="preserve">Dashboard!D9</t>
  </si>
  <si>
    <t xml:space="preserve">Entry EBITDA multiplied by the entry multiple.</t>
  </si>
  <si>
    <t xml:space="preserve">Sponsor equity</t>
  </si>
  <si>
    <t xml:space="preserve">Dashboard!D10</t>
  </si>
  <si>
    <t xml:space="preserve">Entry EV plus fees less opening senior debt.</t>
  </si>
  <si>
    <t xml:space="preserve">Exit EBITDA</t>
  </si>
  <si>
    <t xml:space="preserve">Dashboard!D11</t>
  </si>
  <si>
    <t xml:space="preserve">Year 5 forecast EBITDA including selected initiatives.</t>
  </si>
  <si>
    <t xml:space="preserve">Exit EV</t>
  </si>
  <si>
    <t xml:space="preserve">Dashboard!D12</t>
  </si>
  <si>
    <t xml:space="preserve">Exit EBITDA multiplied by scenario exit multiple.</t>
  </si>
  <si>
    <t xml:space="preserve">Exit net debt</t>
  </si>
  <si>
    <t xml:space="preserve">Dashboard!D13</t>
  </si>
  <si>
    <t xml:space="preserve">Year 5 gross debt less year-end cash.</t>
  </si>
  <si>
    <t xml:space="preserve">MOIC</t>
  </si>
  <si>
    <t xml:space="preserve">Dashboard!D14</t>
  </si>
  <si>
    <t xml:space="preserve">Exit equity proceeds divided by sponsor equity.</t>
  </si>
  <si>
    <t xml:space="preserve">IRR</t>
  </si>
  <si>
    <t xml:space="preserve">Dashboard!D15</t>
  </si>
  <si>
    <t xml:space="preserve">XIRR on dated sponsor cash flows.</t>
  </si>
  <si>
    <t xml:space="preserve">Revenue trend</t>
  </si>
  <si>
    <t xml:space="preserve">Dashboard!D36:K36</t>
  </si>
  <si>
    <t xml:space="preserve">Historical synthetic revenue and forecast operating revenue.</t>
  </si>
  <si>
    <t xml:space="preserve">EBITDA trend</t>
  </si>
  <si>
    <t xml:space="preserve">Dashboard!D37:K37</t>
  </si>
  <si>
    <t xml:space="preserve">Historical synthetic EBITDA and forecast EBITDA.</t>
  </si>
  <si>
    <t xml:space="preserve">Bridge exit EBITDA</t>
  </si>
  <si>
    <t xml:space="preserve">Dashboard!D24</t>
  </si>
  <si>
    <t xml:space="preserve">Core EBITDA change plus three net initiative contributions.</t>
  </si>
  <si>
    <t xml:space="preserve">Bridge exit EV</t>
  </si>
  <si>
    <t xml:space="preserve">Dashboard!D31</t>
  </si>
  <si>
    <t xml:space="preserve">Entry EV plus EBITDA and exit-multiple effects.</t>
  </si>
  <si>
    <t xml:space="preserve">Red RAG count</t>
  </si>
  <si>
    <t xml:space="preserve">Dashboard!D44</t>
  </si>
  <si>
    <t xml:space="preserve">Count of quarterly initiative rows below visible threshold.</t>
  </si>
  <si>
    <t xml:space="preserve">AI expand gate count</t>
  </si>
  <si>
    <t xml:space="preserve">Dashboard!D45</t>
  </si>
  <si>
    <t xml:space="preserve">Count of quarterly AI rows meeting adoption and quality threshold logic.</t>
  </si>
  <si>
    <t xml:space="preserve">Metric definitions</t>
  </si>
  <si>
    <t xml:space="preserve">EBITDA is the synthetic operating earnings proxy before depreciation, interest, and tax. No formal accounting policy is modeled.</t>
  </si>
  <si>
    <t xml:space="preserve">Sponsor MOIC is gross exit equity proceeds divided by sponsor equity at entry. No interim distributions are assumed in the seeded case.</t>
  </si>
  <si>
    <t xml:space="preserve">Sponsor IRR uses XIRR with actual Excel dates. No fees beyond the displayed entry and exit transaction fees are included.</t>
  </si>
  <si>
    <t xml:space="preserve">AI capacity released is addressable annual hours multiplied by adoption ramp. EBITDA benefit is only hours × loaded cost × avoidable share × realization. The residual capacity is not valued.</t>
  </si>
  <si>
    <t xml:space="preserve">Synthetic VCP actuals are seeded for demonstration and are not measured results for any real business.</t>
  </si>
  <si>
    <t xml:space="preserve">Synthetic assumption register</t>
  </si>
  <si>
    <t xml:space="preserve">Input group</t>
  </si>
  <si>
    <t xml:space="preserve">Key assumption</t>
  </si>
  <si>
    <t xml:space="preserve">Synthetic rationale</t>
  </si>
  <si>
    <t xml:space="preserve">Company baseline</t>
  </si>
  <si>
    <t xml:space="preserve">FY2025 revenue and EBITDA</t>
  </si>
  <si>
    <t xml:space="preserve">Illustrative scale for a fictional mid-market services case.</t>
  </si>
  <si>
    <t xml:space="preserve">Operating scenarios</t>
  </si>
  <si>
    <t xml:space="preserve">Growth, margin lift, and exit multiple</t>
  </si>
  <si>
    <t xml:space="preserve">Synthetic ranges to create meaningfully distinct operating and execution cases.</t>
  </si>
  <si>
    <t xml:space="preserve">Initiative economics</t>
  </si>
  <si>
    <t xml:space="preserve">Benefits, ramps, implementation and run cost</t>
  </si>
  <si>
    <t xml:space="preserve">Illustrative only; no observed company or project economics.</t>
  </si>
  <si>
    <t xml:space="preserve">Capital structure</t>
  </si>
  <si>
    <t xml:space="preserve">Entry multiple, leverage, fees, interest and sweep</t>
  </si>
  <si>
    <t xml:space="preserve">Simplified transaction assumptions, not a financing quote.</t>
  </si>
  <si>
    <t xml:space="preserve">AI automation</t>
  </si>
  <si>
    <t xml:space="preserve">Addressable hours, cost/hour, avoidable share, realization</t>
  </si>
  <si>
    <t xml:space="preserve">Capacity is monetized only when cost avoidance is explicitly assumed.</t>
  </si>
  <si>
    <t xml:space="preserve">Quarterly tracker</t>
  </si>
  <si>
    <t xml:space="preserve">Plan, synthetic actual attainment and quality</t>
  </si>
  <si>
    <t xml:space="preserve">Seeded for RAG and expand/fix/pause demonstrations.</t>
  </si>
  <si>
    <t xml:space="preserve">Tax and cash conversion</t>
  </si>
  <si>
    <t xml:space="preserve">Tax, capex, working capital, depreciation</t>
  </si>
  <si>
    <t xml:space="preserve">Simple illustrative rates; not tax or accounting advice.</t>
  </si>
</sst>
</file>

<file path=xl/styles.xml><?xml version="1.0" encoding="utf-8"?>
<styleSheet xmlns="http://schemas.openxmlformats.org/spreadsheetml/2006/main">
  <numFmts count="8">
    <numFmt numFmtId="164" formatCode="General"/>
    <numFmt numFmtId="165" formatCode="\$#,##0.0;&quot;($&quot;#,##0.0\);\-"/>
    <numFmt numFmtId="166" formatCode="0.0\x"/>
    <numFmt numFmtId="167" formatCode="0.0%;\(0.0%\);\-"/>
    <numFmt numFmtId="168" formatCode="#,##0;\(#,##0\);\-"/>
    <numFmt numFmtId="169" formatCode="0.0000"/>
    <numFmt numFmtId="170" formatCode="#,##0.0;\(#,##0.0\);\-"/>
    <numFmt numFmtId="171" formatCode="dd\-mmm\-yyyy"/>
  </numFmts>
  <fonts count="20">
    <font>
      <sz val="11"/>
      <color theme="1"/>
      <name val="Calibri"/>
      <family val="2"/>
      <charset val="1"/>
    </font>
    <font>
      <sz val="10"/>
      <name val="Arial"/>
      <family val="0"/>
    </font>
    <font>
      <sz val="10"/>
      <name val="Arial"/>
      <family val="0"/>
    </font>
    <font>
      <sz val="10"/>
      <name val="Arial"/>
      <family val="0"/>
    </font>
    <font>
      <b val="true"/>
      <sz val="14"/>
      <color rgb="FF202124"/>
      <name val="Arial"/>
      <family val="0"/>
      <charset val="1"/>
    </font>
    <font>
      <sz val="9"/>
      <color rgb="FF202124"/>
      <name val="Arial"/>
      <family val="0"/>
      <charset val="1"/>
    </font>
    <font>
      <b val="true"/>
      <sz val="12"/>
      <color rgb="FF202124"/>
      <name val="Arial"/>
      <family val="0"/>
      <charset val="1"/>
    </font>
    <font>
      <b val="true"/>
      <sz val="10"/>
      <color rgb="FF202124"/>
      <name val="Arial"/>
      <family val="0"/>
      <charset val="1"/>
    </font>
    <font>
      <sz val="10"/>
      <color rgb="FF202124"/>
      <name val="Arial"/>
      <family val="0"/>
      <charset val="1"/>
    </font>
    <font>
      <sz val="12"/>
      <color theme="10"/>
      <name val="Calibri"/>
      <family val="2"/>
      <charset val="1"/>
    </font>
    <font>
      <b val="true"/>
      <sz val="10"/>
      <color rgb="FF008000"/>
      <name val="Arial"/>
      <family val="0"/>
      <charset val="1"/>
    </font>
    <font>
      <sz val="10"/>
      <color rgb="FF00800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00FF"/>
      <name val="Arial"/>
      <family val="0"/>
      <charset val="1"/>
    </font>
    <font>
      <sz val="10"/>
      <color rgb="FF0000FF"/>
      <name val="Arial"/>
      <family val="0"/>
      <charset val="1"/>
    </font>
    <font>
      <sz val="10"/>
      <name val="Arial"/>
      <family val="2"/>
    </font>
    <font>
      <b val="true"/>
      <sz val="9"/>
      <color rgb="FFFFFFFF"/>
      <name val="Arial"/>
      <family val="0"/>
      <charset val="1"/>
    </font>
  </fonts>
  <fills count="7">
    <fill>
      <patternFill patternType="none"/>
    </fill>
    <fill>
      <patternFill patternType="gray125"/>
    </fill>
    <fill>
      <patternFill patternType="solid">
        <fgColor rgb="FFFFF2CC"/>
        <bgColor rgb="FFFCE4D6"/>
      </patternFill>
    </fill>
    <fill>
      <patternFill patternType="solid">
        <fgColor rgb="FFFFFFFF"/>
        <bgColor rgb="FFFFF2CC"/>
      </patternFill>
    </fill>
    <fill>
      <patternFill patternType="solid">
        <fgColor rgb="FFE2F0D9"/>
        <bgColor rgb="FFD9EAF7"/>
      </patternFill>
    </fill>
    <fill>
      <patternFill patternType="solid">
        <fgColor rgb="FFD9EAF7"/>
        <bgColor rgb="FFE2F0D9"/>
      </patternFill>
    </fill>
    <fill>
      <patternFill patternType="solid">
        <fgColor rgb="FF17365D"/>
        <bgColor rgb="FF333399"/>
      </patternFill>
    </fill>
  </fills>
  <borders count="4">
    <border diagonalUp="false" diagonalDown="false">
      <left/>
      <right/>
      <top/>
      <bottom/>
      <diagonal/>
    </border>
    <border diagonalUp="false" diagonalDown="false">
      <left/>
      <right/>
      <top/>
      <bottom style="thin">
        <color rgb="FF17365D"/>
      </bottom>
      <diagonal/>
    </border>
    <border diagonalUp="false" diagonalDown="false">
      <left/>
      <right/>
      <top/>
      <bottom style="thin">
        <color rgb="FFFFFFFF"/>
      </bottom>
      <diagonal/>
    </border>
    <border diagonalUp="false" diagonalDown="false">
      <left/>
      <right/>
      <top style="thin">
        <color rgb="FFB7C9D6"/>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true" applyAlignment="true" applyProtection="true">
      <alignment horizontal="general" vertical="bottom" textRotation="0" wrapText="false" indent="0" shrinkToFit="false"/>
      <protection locked="true" hidden="false"/>
    </xf>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2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8" fillId="4"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7"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right" vertical="center"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5" fontId="10" fillId="0" borderId="0" xfId="0" applyFont="true" applyBorder="false" applyAlignment="true" applyProtection="false">
      <alignment horizontal="righ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4" fontId="12" fillId="6" borderId="2" xfId="0" applyFont="true" applyBorder="true" applyAlignment="true" applyProtection="false">
      <alignment horizontal="center" vertical="center" textRotation="0" wrapText="true" indent="0" shrinkToFit="false"/>
      <protection locked="true" hidden="false"/>
    </xf>
    <xf numFmtId="168" fontId="11" fillId="0" borderId="0" xfId="0" applyFont="true" applyBorder="false" applyAlignment="true" applyProtection="false">
      <alignment horizontal="right" vertical="center" textRotation="0" wrapText="false" indent="0" shrinkToFit="false"/>
      <protection locked="true" hidden="false"/>
    </xf>
    <xf numFmtId="166" fontId="11" fillId="0"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true" applyProtection="false">
      <alignment horizontal="left" vertical="center" textRotation="0" wrapText="false" indent="0" shrinkToFit="false"/>
      <protection locked="true" hidden="false"/>
    </xf>
    <xf numFmtId="164" fontId="17" fillId="2" borderId="0" xfId="0" applyFont="true" applyBorder="false" applyAlignment="true" applyProtection="false">
      <alignment horizontal="left" vertical="center" textRotation="0" wrapText="false" indent="0" shrinkToFit="false"/>
      <protection locked="true" hidden="false"/>
    </xf>
    <xf numFmtId="167" fontId="17" fillId="2" borderId="0" xfId="0" applyFont="true" applyBorder="false" applyAlignment="true" applyProtection="false">
      <alignment horizontal="right" vertical="center" textRotation="0" wrapText="false" indent="0" shrinkToFit="false"/>
      <protection locked="true" hidden="false"/>
    </xf>
    <xf numFmtId="166" fontId="17" fillId="2" borderId="0" xfId="0" applyFont="true" applyBorder="false" applyAlignment="true" applyProtection="false">
      <alignment horizontal="right" vertical="center" textRotation="0" wrapText="false" indent="0" shrinkToFit="false"/>
      <protection locked="true" hidden="false"/>
    </xf>
    <xf numFmtId="168" fontId="17" fillId="2" borderId="0" xfId="0" applyFont="true" applyBorder="false" applyAlignment="true" applyProtection="false">
      <alignment horizontal="right" vertical="center" textRotation="0" wrapText="false" indent="0" shrinkToFit="false"/>
      <protection locked="true" hidden="false"/>
    </xf>
    <xf numFmtId="165" fontId="17" fillId="2" borderId="0" xfId="0" applyFont="true" applyBorder="false" applyAlignment="true" applyProtection="false">
      <alignment horizontal="right" vertical="center" textRotation="0" wrapText="false" indent="0" shrinkToFit="false"/>
      <protection locked="true" hidden="false"/>
    </xf>
    <xf numFmtId="169" fontId="17" fillId="2" borderId="0" xfId="0" applyFont="true" applyBorder="false" applyAlignment="true" applyProtection="false">
      <alignment horizontal="right" vertical="center" textRotation="0" wrapText="false" indent="0" shrinkToFit="false"/>
      <protection locked="true" hidden="false"/>
    </xf>
    <xf numFmtId="167" fontId="7"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70" fontId="17" fillId="2" borderId="0" xfId="0" applyFont="true" applyBorder="false" applyAlignment="true" applyProtection="false">
      <alignment horizontal="right" vertical="center" textRotation="0" wrapText="false" indent="0" shrinkToFit="false"/>
      <protection locked="true" hidden="false"/>
    </xf>
    <xf numFmtId="168" fontId="12" fillId="6" borderId="2" xfId="0" applyFont="true" applyBorder="true" applyAlignment="true" applyProtection="false">
      <alignment horizontal="center" vertical="center" textRotation="0" wrapText="true" indent="0" shrinkToFit="false"/>
      <protection locked="true" hidden="false"/>
    </xf>
    <xf numFmtId="167" fontId="11" fillId="0" borderId="0" xfId="0" applyFont="true" applyBorder="false" applyAlignment="true" applyProtection="false">
      <alignment horizontal="right" vertical="center" textRotation="0" wrapText="false" indent="0" shrinkToFit="false"/>
      <protection locked="true" hidden="false"/>
    </xf>
    <xf numFmtId="164" fontId="7" fillId="0" borderId="3" xfId="0" applyFont="true" applyBorder="true" applyAlignment="true" applyProtection="false">
      <alignment horizontal="left" vertical="center" textRotation="0" wrapText="false" indent="0" shrinkToFit="false"/>
      <protection locked="true" hidden="false"/>
    </xf>
    <xf numFmtId="165" fontId="7" fillId="0" borderId="3" xfId="0" applyFont="true" applyBorder="true" applyAlignment="true" applyProtection="false">
      <alignment horizontal="right"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71" fontId="12" fillId="6" borderId="2" xfId="0" applyFont="true" applyBorder="true" applyAlignment="true" applyProtection="false">
      <alignment horizontal="center" vertical="center" textRotation="0" wrapText="true" indent="0" shrinkToFit="false"/>
      <protection locked="true" hidden="false"/>
    </xf>
    <xf numFmtId="166" fontId="7"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6" fontId="12" fillId="6" borderId="2" xfId="0" applyFont="true" applyBorder="true" applyAlignment="true" applyProtection="false">
      <alignment horizontal="center" vertical="center" textRotation="0" wrapText="true" indent="0" shrinkToFit="false"/>
      <protection locked="true" hidden="false"/>
    </xf>
    <xf numFmtId="164" fontId="19" fillId="6" borderId="0" xfId="0" applyFont="true" applyBorder="false" applyAlignment="true" applyProtection="false">
      <alignment horizontal="center" vertical="center" textRotation="0" wrapText="true" indent="0" shrinkToFit="false"/>
      <protection locked="true" hidden="false"/>
    </xf>
    <xf numFmtId="167" fontId="12" fillId="6" borderId="2" xfId="0" applyFont="true" applyBorder="true" applyAlignment="true" applyProtection="false">
      <alignment horizontal="center" vertical="center" textRotation="0" wrapText="true" indent="0" shrinkToFit="false"/>
      <protection locked="true" hidden="false"/>
    </xf>
    <xf numFmtId="167" fontId="8" fillId="0" borderId="0" xfId="0" applyFont="true" applyBorder="fals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3">
    <dxf>
      <fill>
        <patternFill patternType="solid">
          <fgColor rgb="FF17365D"/>
          <bgColor rgb="FF000000"/>
        </patternFill>
      </fill>
    </dxf>
    <dxf>
      <fill>
        <patternFill patternType="solid">
          <bgColor rgb="FF000000"/>
        </patternFill>
      </fill>
    </dxf>
    <dxf>
      <fill>
        <patternFill patternType="solid">
          <fgColor rgb="FF000000"/>
          <bgColor rgb="FF000000"/>
        </patternFill>
      </fill>
    </dxf>
    <dxf>
      <fill>
        <patternFill patternType="solid">
          <fgColor rgb="FF202124"/>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E2F0D9"/>
          <bgColor rgb="FF000000"/>
        </patternFill>
      </fill>
    </dxf>
    <dxf>
      <fill>
        <patternFill patternType="solid">
          <fgColor rgb="FFFCE4D6"/>
          <bgColor rgb="FF000000"/>
        </patternFill>
      </fill>
    </dxf>
    <dxf>
      <fill>
        <patternFill>
          <bgColor rgb="FFE2F0D9"/>
        </patternFill>
      </fill>
    </dxf>
    <dxf>
      <fill>
        <patternFill>
          <bgColor rgb="FFFFF2CC"/>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9D6"/>
      <rgbColor rgb="FF878787"/>
      <rgbColor rgb="FF9999FF"/>
      <rgbColor rgb="FFBE4B48"/>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D6"/>
      <rgbColor rgb="FF3366FF"/>
      <rgbColor rgb="FF33CCCC"/>
      <rgbColor rgb="FF99CC00"/>
      <rgbColor rgb="FFFFCC00"/>
      <rgbColor rgb="FFFF9900"/>
      <rgbColor rgb="FFFF6600"/>
      <rgbColor rgb="FF4A7EBB"/>
      <rgbColor rgb="FF969696"/>
      <rgbColor rgb="FF17365D"/>
      <rgbColor rgb="FF339966"/>
      <rgbColor rgb="FF003300"/>
      <rgbColor rgb="FF333300"/>
      <rgbColor rgb="FF993300"/>
      <rgbColor rgb="FF993366"/>
      <rgbColor rgb="FF333399"/>
      <rgbColor rgb="FF2021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and EBITDA</a:t>
            </a:r>
          </a:p>
        </c:rich>
      </c:tx>
      <c:overlay val="0"/>
      <c:spPr>
        <a:noFill/>
        <a:ln w="0">
          <a:noFill/>
        </a:ln>
      </c:spPr>
    </c:title>
    <c:autoTitleDeleted val="0"/>
    <c:plotArea>
      <c:lineChart>
        <c:grouping val="standard"/>
        <c:varyColors val="0"/>
        <c:ser>
          <c:idx val="0"/>
          <c:order val="0"/>
          <c:tx>
            <c:strRef>
              <c:f>Dashboard!C36</c:f>
              <c:strCache>
                <c:ptCount val="1"/>
                <c:pt idx="0">
                  <c:v>Revenue ($m)</c:v>
                </c:pt>
              </c:strCache>
            </c:strRef>
          </c:tx>
          <c:spPr>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Dashboard!$D$35:$K$35</c:f>
              <c:strCache>
                <c:ptCount val="8"/>
                <c:pt idx="0">
                  <c:v>2023</c:v>
                </c:pt>
                <c:pt idx="1">
                  <c:v>2024</c:v>
                </c:pt>
                <c:pt idx="2">
                  <c:v>2025</c:v>
                </c:pt>
                <c:pt idx="3">
                  <c:v>2026</c:v>
                </c:pt>
                <c:pt idx="4">
                  <c:v>2027</c:v>
                </c:pt>
                <c:pt idx="5">
                  <c:v>2028</c:v>
                </c:pt>
                <c:pt idx="6">
                  <c:v>2029</c:v>
                </c:pt>
                <c:pt idx="7">
                  <c:v>2030</c:v>
                </c:pt>
              </c:strCache>
            </c:strRef>
          </c:cat>
          <c:val>
            <c:numRef>
              <c:f>Dashboard!$D$36:$K$36</c:f>
              <c:numCache>
                <c:formatCode>\$#,##0.0;"($"#,##0.0\);\-</c:formatCode>
                <c:ptCount val="8"/>
                <c:pt idx="0">
                  <c:v>80</c:v>
                </c:pt>
                <c:pt idx="1">
                  <c:v>90</c:v>
                </c:pt>
                <c:pt idx="2">
                  <c:v>100</c:v>
                </c:pt>
                <c:pt idx="3">
                  <c:v>106</c:v>
                </c:pt>
                <c:pt idx="4">
                  <c:v>112.36</c:v>
                </c:pt>
                <c:pt idx="5">
                  <c:v>118.5398</c:v>
                </c:pt>
                <c:pt idx="6">
                  <c:v>124.46679</c:v>
                </c:pt>
                <c:pt idx="7">
                  <c:v>130.06779555</c:v>
                </c:pt>
              </c:numCache>
            </c:numRef>
          </c:val>
          <c:smooth val="1"/>
        </c:ser>
        <c:ser>
          <c:idx val="1"/>
          <c:order val="1"/>
          <c:tx>
            <c:strRef>
              <c:f>Dashboard!C37</c:f>
              <c:strCache>
                <c:ptCount val="1"/>
                <c:pt idx="0">
                  <c:v>EBITDA ($m)</c:v>
                </c:pt>
              </c:strCache>
            </c:strRef>
          </c:tx>
          <c:spPr>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Dashboard!$D$35:$K$35</c:f>
              <c:strCache>
                <c:ptCount val="8"/>
                <c:pt idx="0">
                  <c:v>2023</c:v>
                </c:pt>
                <c:pt idx="1">
                  <c:v>2024</c:v>
                </c:pt>
                <c:pt idx="2">
                  <c:v>2025</c:v>
                </c:pt>
                <c:pt idx="3">
                  <c:v>2026</c:v>
                </c:pt>
                <c:pt idx="4">
                  <c:v>2027</c:v>
                </c:pt>
                <c:pt idx="5">
                  <c:v>2028</c:v>
                </c:pt>
                <c:pt idx="6">
                  <c:v>2029</c:v>
                </c:pt>
                <c:pt idx="7">
                  <c:v>2030</c:v>
                </c:pt>
              </c:strCache>
            </c:strRef>
          </c:cat>
          <c:val>
            <c:numRef>
              <c:f>Dashboard!$D$37:$K$37</c:f>
              <c:numCache>
                <c:formatCode>\$#,##0.0;"($"#,##0.0\);\-</c:formatCode>
                <c:ptCount val="8"/>
                <c:pt idx="0">
                  <c:v>10</c:v>
                </c:pt>
                <c:pt idx="1">
                  <c:v>12.2</c:v>
                </c:pt>
                <c:pt idx="2">
                  <c:v>14</c:v>
                </c:pt>
                <c:pt idx="3">
                  <c:v>14.13097</c:v>
                </c:pt>
                <c:pt idx="4">
                  <c:v>18.022434</c:v>
                </c:pt>
                <c:pt idx="5">
                  <c:v>19.9255305</c:v>
                </c:pt>
                <c:pt idx="6">
                  <c:v>21.5000165</c:v>
                </c:pt>
                <c:pt idx="7">
                  <c:v>22.758630821375</c:v>
                </c:pt>
              </c:numCache>
            </c:numRef>
          </c:val>
          <c:smooth val="1"/>
        </c:ser>
        <c:hiLowLines>
          <c:spPr>
            <a:ln w="0">
              <a:noFill/>
            </a:ln>
          </c:spPr>
        </c:hiLowLines>
        <c:marker val="0"/>
        <c:axId val="4707499"/>
        <c:axId val="37530018"/>
      </c:lineChart>
      <c:catAx>
        <c:axId val="470749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530018"/>
        <c:crosses val="autoZero"/>
        <c:auto val="1"/>
        <c:lblAlgn val="ctr"/>
        <c:lblOffset val="100"/>
        <c:noMultiLvlLbl val="0"/>
      </c:catAx>
      <c:valAx>
        <c:axId val="37530018"/>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USD millions</a:t>
                </a:r>
              </a:p>
            </c:rich>
          </c:tx>
          <c:overlay val="0"/>
          <c:spPr>
            <a:noFill/>
            <a:ln w="0">
              <a:noFill/>
            </a:ln>
          </c:spPr>
        </c:title>
        <c:numFmt formatCode="\$#,##0.0;&quot;($&quot;#,##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07499"/>
        <c:crosses val="autoZero"/>
        <c:crossBetween val="between"/>
      </c:valAx>
      <c:spPr>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6</xdr:row>
      <xdr:rowOff>0</xdr:rowOff>
    </xdr:from>
    <xdr:to>
      <xdr:col>9</xdr:col>
      <xdr:colOff>810360</xdr:colOff>
      <xdr:row>18</xdr:row>
      <xdr:rowOff>81360</xdr:rowOff>
    </xdr:to>
    <xdr:graphicFrame>
      <xdr:nvGraphicFramePr>
        <xdr:cNvPr id="1" name="Chart 1"/>
        <xdr:cNvGraphicFramePr/>
      </xdr:nvGraphicFramePr>
      <xdr:xfrm>
        <a:off x="5991120" y="137304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cenario_base_e6e9f1f9/Base.xlsx" TargetMode="External"/><Relationship Id="rId2" Type="http://schemas.openxmlformats.org/officeDocument/2006/relationships/hyperlink" Target="../scenario_base_e6e9f1f9/Base.xlsx" TargetMode="External"/><Relationship Id="rId3" Type="http://schemas.openxmlformats.org/officeDocument/2006/relationships/hyperlink" Target="../scenario_base_e6e9f1f9/Base.xlsx" TargetMode="External"/><Relationship Id="rId4" Type="http://schemas.openxmlformats.org/officeDocument/2006/relationships/hyperlink" Target="../scenario_base_e6e9f1f9/Base.xlsx" TargetMode="External"/><Relationship Id="rId5" Type="http://schemas.openxmlformats.org/officeDocument/2006/relationships/hyperlink" Target="../scenario_base_e6e9f1f9/Base.xlsx" TargetMode="External"/><Relationship Id="rId6" Type="http://schemas.openxmlformats.org/officeDocument/2006/relationships/hyperlink" Target="../scenario_base_e6e9f1f9/Base.xlsx" TargetMode="External"/><Relationship Id="rId7" Type="http://schemas.openxmlformats.org/officeDocument/2006/relationships/hyperlink" Target="../scenario_base_e6e9f1f9/Base.xlsx" TargetMode="External"/><Relationship Id="rId8" Type="http://schemas.openxmlformats.org/officeDocument/2006/relationships/hyperlink" Target="../scenario_base_e6e9f1f9/Base.xlsx" TargetMode="External"/><Relationship Id="rId9" Type="http://schemas.openxmlformats.org/officeDocument/2006/relationships/hyperlink" Target="../scenario_base_e6e9f1f9/Base.xlsx" TargetMode="External"/><Relationship Id="rId10" Type="http://schemas.openxmlformats.org/officeDocument/2006/relationships/hyperlink" Target="../scenario_base_e6e9f1f9/Base.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7.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3.xml"/><Relationship Id="rId3"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K25"/>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26"/>
    <col collapsed="false" customWidth="true" hidden="false" outlineLevel="0" max="4" min="4" style="0" width="56"/>
    <col collapsed="false" customWidth="true" hidden="false" outlineLevel="0" max="5" min="5" style="0" width="4"/>
    <col collapsed="false" customWidth="true" hidden="false" outlineLevel="0" max="6" min="6" style="0" width="24"/>
    <col collapsed="false" customWidth="true" hidden="false" outlineLevel="0" max="7" min="7" style="0" width="36"/>
    <col collapsed="false" customWidth="true" hidden="false" outlineLevel="0" max="17" min="8" style="0" width="14"/>
  </cols>
  <sheetData>
    <row r="2" customFormat="false" ht="17.35" hidden="false" customHeight="false" outlineLevel="0" collapsed="false">
      <c r="C2" s="1" t="s">
        <v>0</v>
      </c>
    </row>
    <row r="3" customFormat="false" ht="30.75" hidden="false" customHeight="true" outlineLevel="0" collapsed="false">
      <c r="C3" s="2" t="s">
        <v>1</v>
      </c>
      <c r="D3" s="2"/>
      <c r="E3" s="2"/>
      <c r="F3" s="2"/>
      <c r="G3" s="2"/>
      <c r="H3" s="2"/>
      <c r="I3" s="2"/>
      <c r="J3" s="2"/>
      <c r="K3" s="2"/>
    </row>
    <row r="4" customFormat="false" ht="15" hidden="false" customHeight="false" outlineLevel="0" collapsed="false">
      <c r="C4" s="3"/>
      <c r="D4" s="3"/>
      <c r="E4" s="3"/>
      <c r="F4" s="3"/>
      <c r="G4" s="3"/>
      <c r="H4" s="3"/>
      <c r="I4" s="3"/>
      <c r="J4" s="3"/>
      <c r="K4" s="3"/>
    </row>
    <row r="6" customFormat="false" ht="15" hidden="false" customHeight="false" outlineLevel="0" collapsed="false">
      <c r="C6" s="4" t="s">
        <v>2</v>
      </c>
    </row>
    <row r="8" customFormat="false" ht="39.75" hidden="false" customHeight="true" outlineLevel="0" collapsed="false">
      <c r="C8" s="5" t="s">
        <v>3</v>
      </c>
      <c r="D8" s="6" t="s">
        <v>4</v>
      </c>
    </row>
    <row r="10" customFormat="false" ht="39.75" hidden="false" customHeight="true" outlineLevel="0" collapsed="false">
      <c r="C10" s="7" t="s">
        <v>5</v>
      </c>
      <c r="D10" s="7"/>
      <c r="E10" s="7"/>
      <c r="F10" s="7"/>
      <c r="G10" s="7"/>
      <c r="H10" s="7"/>
      <c r="I10" s="7"/>
      <c r="J10" s="7"/>
      <c r="K10" s="7"/>
    </row>
    <row r="12" customFormat="false" ht="15" hidden="false" customHeight="false" outlineLevel="0" collapsed="false">
      <c r="C12" s="5" t="s">
        <v>6</v>
      </c>
      <c r="F12" s="5" t="s">
        <v>7</v>
      </c>
    </row>
    <row r="13" customFormat="false" ht="21.75" hidden="false" customHeight="true" outlineLevel="0" collapsed="false">
      <c r="C13" s="8" t="s">
        <v>8</v>
      </c>
      <c r="F13" s="9" t="s">
        <v>9</v>
      </c>
      <c r="G13" s="10" t="s">
        <v>10</v>
      </c>
    </row>
    <row r="14" customFormat="false" ht="21.75" hidden="false" customHeight="true" outlineLevel="0" collapsed="false">
      <c r="C14" s="8" t="s">
        <v>11</v>
      </c>
      <c r="F14" s="11" t="s">
        <v>12</v>
      </c>
      <c r="G14" s="10" t="s">
        <v>13</v>
      </c>
    </row>
    <row r="15" customFormat="false" ht="21.75" hidden="false" customHeight="true" outlineLevel="0" collapsed="false">
      <c r="C15" s="8" t="s">
        <v>14</v>
      </c>
      <c r="F15" s="11" t="s">
        <v>15</v>
      </c>
      <c r="G15" s="10" t="s">
        <v>16</v>
      </c>
    </row>
    <row r="16" customFormat="false" ht="21.75" hidden="false" customHeight="true" outlineLevel="0" collapsed="false">
      <c r="C16" s="8" t="s">
        <v>17</v>
      </c>
      <c r="F16" s="12" t="s">
        <v>18</v>
      </c>
      <c r="G16" s="10" t="s">
        <v>19</v>
      </c>
    </row>
    <row r="17" customFormat="false" ht="21.75" hidden="false" customHeight="true" outlineLevel="0" collapsed="false">
      <c r="C17" s="8" t="s">
        <v>20</v>
      </c>
    </row>
    <row r="18" customFormat="false" ht="21.75" hidden="false" customHeight="true" outlineLevel="0" collapsed="false">
      <c r="C18" s="8" t="s">
        <v>21</v>
      </c>
    </row>
    <row r="19" customFormat="false" ht="21.75" hidden="false" customHeight="true" outlineLevel="0" collapsed="false">
      <c r="C19" s="8" t="s">
        <v>22</v>
      </c>
    </row>
    <row r="20" customFormat="false" ht="21.75" hidden="false" customHeight="true" outlineLevel="0" collapsed="false">
      <c r="C20" s="8" t="s">
        <v>23</v>
      </c>
    </row>
    <row r="21" customFormat="false" ht="21.75" hidden="false" customHeight="true" outlineLevel="0" collapsed="false">
      <c r="C21" s="8" t="s">
        <v>24</v>
      </c>
    </row>
    <row r="22" customFormat="false" ht="21.75" hidden="false" customHeight="true" outlineLevel="0" collapsed="false">
      <c r="C22" s="8" t="s">
        <v>25</v>
      </c>
    </row>
    <row r="25" customFormat="false" ht="39.75" hidden="false" customHeight="true" outlineLevel="0" collapsed="false">
      <c r="C25" s="7" t="s">
        <v>26</v>
      </c>
      <c r="D25" s="7"/>
      <c r="E25" s="7"/>
      <c r="F25" s="7"/>
      <c r="G25" s="7"/>
      <c r="H25" s="7"/>
      <c r="I25" s="7"/>
      <c r="J25" s="7"/>
      <c r="K25" s="7"/>
    </row>
  </sheetData>
  <mergeCells count="3">
    <mergeCell ref="C3:K3"/>
    <mergeCell ref="C10:K10"/>
    <mergeCell ref="C25:K25"/>
  </mergeCells>
  <hyperlinks>
    <hyperlink ref="C13" r:id="rId1" location="'Dashboard'!C2" display="Dashboard"/>
    <hyperlink ref="C14" r:id="rId2" location="'Controls'!C2" display="Controls"/>
    <hyperlink ref="C15" r:id="rId3" location="'Historical%20&amp;%20Baseline'!C2" display="Historical &amp; Baseline"/>
    <hyperlink ref="C16" r:id="rId4" location="'Initiatives'!C2" display="Initiatives"/>
    <hyperlink ref="C17" r:id="rId5" location="'Operating%20Model'!C2" display="Operating Model"/>
    <hyperlink ref="C18" r:id="rId6" location="'Cash%20Flow%20&amp;%20Debt'!C2" display="Cash Flow &amp; Debt"/>
    <hyperlink ref="C19" r:id="rId7" location="'Returns'!C2" display="Returns"/>
    <hyperlink ref="C20" r:id="rId8" location="'Sensitivity'!C2" display="Sensitivity"/>
    <hyperlink ref="C21" r:id="rId9" location="'VCP%20Tracker'!C2" display="VCP Tracker"/>
    <hyperlink ref="C22" r:id="rId10" location="'Checks%20&amp;%20Definitions'!C2" display="Checks &amp; Definitions"/>
  </hyperlink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65D"/>
    <pageSetUpPr fitToPage="true"/>
  </sheetPr>
  <dimension ref="C2:M6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49"/>
    <col collapsed="false" customWidth="true" hidden="false" outlineLevel="0" max="11" min="4" style="0" width="15"/>
    <col collapsed="false" customWidth="true" hidden="false" outlineLevel="0" max="17" min="12" style="0" width="14"/>
  </cols>
  <sheetData>
    <row r="2" customFormat="false" ht="17.35" hidden="false" customHeight="false" outlineLevel="0" collapsed="false">
      <c r="C2" s="1" t="s">
        <v>27</v>
      </c>
    </row>
    <row r="3" customFormat="false" ht="30.75" hidden="false" customHeight="true" outlineLevel="0" collapsed="false">
      <c r="C3" s="2" t="s">
        <v>28</v>
      </c>
      <c r="D3" s="2"/>
      <c r="E3" s="2"/>
      <c r="F3" s="2"/>
      <c r="G3" s="2"/>
      <c r="H3" s="2"/>
      <c r="I3" s="2"/>
      <c r="J3" s="2"/>
      <c r="K3" s="2"/>
      <c r="L3" s="2"/>
      <c r="M3" s="2"/>
    </row>
    <row r="4" customFormat="false" ht="15" hidden="false" customHeight="false" outlineLevel="0" collapsed="false">
      <c r="C4" s="3"/>
      <c r="D4" s="3"/>
      <c r="E4" s="3"/>
      <c r="F4" s="3"/>
      <c r="G4" s="3"/>
      <c r="H4" s="3"/>
      <c r="I4" s="3"/>
      <c r="J4" s="3"/>
      <c r="K4" s="3"/>
      <c r="L4" s="3"/>
      <c r="M4" s="3"/>
    </row>
    <row r="5" customFormat="false" ht="15" hidden="false" customHeight="false" outlineLevel="0" collapsed="false">
      <c r="C5" s="5" t="s">
        <v>29</v>
      </c>
      <c r="D5" s="13" t="str">
        <f aca="false">Controls!D6</f>
        <v>Base</v>
      </c>
    </row>
    <row r="7" customFormat="false" ht="21" hidden="false" customHeight="true" outlineLevel="0" collapsed="false">
      <c r="C7" s="14" t="s">
        <v>30</v>
      </c>
      <c r="D7" s="15"/>
      <c r="E7" s="15"/>
      <c r="F7" s="15"/>
      <c r="G7" s="15"/>
      <c r="H7" s="15"/>
      <c r="I7" s="15"/>
    </row>
    <row r="8" customFormat="false" ht="15" hidden="false" customHeight="false" outlineLevel="0" collapsed="false">
      <c r="C8" s="10" t="s">
        <v>31</v>
      </c>
      <c r="D8" s="16" t="n">
        <f aca="false">Returns!D11</f>
        <v>14</v>
      </c>
    </row>
    <row r="9" customFormat="false" ht="15" hidden="false" customHeight="false" outlineLevel="0" collapsed="false">
      <c r="C9" s="10" t="s">
        <v>32</v>
      </c>
      <c r="D9" s="16" t="n">
        <f aca="false">Returns!D13</f>
        <v>140</v>
      </c>
    </row>
    <row r="10" customFormat="false" ht="15" hidden="false" customHeight="false" outlineLevel="0" collapsed="false">
      <c r="C10" s="10" t="s">
        <v>33</v>
      </c>
      <c r="D10" s="16" t="n">
        <f aca="false">Returns!D16</f>
        <v>86.8</v>
      </c>
    </row>
    <row r="11" customFormat="false" ht="15" hidden="false" customHeight="false" outlineLevel="0" collapsed="false">
      <c r="C11" s="10" t="s">
        <v>34</v>
      </c>
      <c r="D11" s="16" t="n">
        <f aca="false">Returns!D18</f>
        <v>22.758630821375</v>
      </c>
    </row>
    <row r="12" customFormat="false" ht="15" hidden="false" customHeight="false" outlineLevel="0" collapsed="false">
      <c r="C12" s="10" t="s">
        <v>35</v>
      </c>
      <c r="D12" s="16" t="n">
        <f aca="false">Returns!D20</f>
        <v>227.58630821375</v>
      </c>
    </row>
    <row r="13" customFormat="false" ht="15" hidden="false" customHeight="false" outlineLevel="0" collapsed="false">
      <c r="C13" s="10" t="s">
        <v>36</v>
      </c>
      <c r="D13" s="16" t="n">
        <f aca="false">'Cash Flow &amp; Debt'!H24</f>
        <v>15.2163169882128</v>
      </c>
    </row>
    <row r="14" customFormat="false" ht="15" hidden="false" customHeight="false" outlineLevel="0" collapsed="false">
      <c r="C14" s="5" t="s">
        <v>37</v>
      </c>
      <c r="D14" s="17" t="n">
        <f aca="false">Returns!D25</f>
        <v>2.42043926432488</v>
      </c>
    </row>
    <row r="15" customFormat="false" ht="15" hidden="false" customHeight="false" outlineLevel="0" collapsed="false">
      <c r="C15" s="5" t="s">
        <v>38</v>
      </c>
      <c r="D15" s="18" t="n">
        <f aca="false">Returns!D26</f>
        <v>0.193264692095432</v>
      </c>
    </row>
    <row r="18" customFormat="false" ht="21" hidden="false" customHeight="true" outlineLevel="0" collapsed="false">
      <c r="C18" s="14" t="s">
        <v>39</v>
      </c>
      <c r="D18" s="15"/>
      <c r="E18" s="15"/>
      <c r="F18" s="15"/>
      <c r="G18" s="15"/>
      <c r="H18" s="15"/>
      <c r="I18" s="15"/>
      <c r="J18" s="15"/>
    </row>
    <row r="19" customFormat="false" ht="15" hidden="false" customHeight="false" outlineLevel="0" collapsed="false">
      <c r="C19" s="5" t="s">
        <v>40</v>
      </c>
      <c r="D19" s="19" t="n">
        <f aca="false">'Historical &amp; Baseline'!F8</f>
        <v>14</v>
      </c>
    </row>
    <row r="20" customFormat="false" ht="15" hidden="false" customHeight="false" outlineLevel="0" collapsed="false">
      <c r="C20" s="10" t="s">
        <v>41</v>
      </c>
      <c r="D20" s="16" t="n">
        <f aca="false">'Operating Model'!H11-'Historical &amp; Baseline'!F8</f>
        <v>5.835338821375</v>
      </c>
    </row>
    <row r="21" customFormat="false" ht="15" hidden="false" customHeight="false" outlineLevel="0" collapsed="false">
      <c r="C21" s="10" t="s">
        <v>42</v>
      </c>
      <c r="D21" s="16" t="n">
        <f aca="false">'Operating Model'!H17</f>
        <v>1.39</v>
      </c>
    </row>
    <row r="22" customFormat="false" ht="15" hidden="false" customHeight="false" outlineLevel="0" collapsed="false">
      <c r="C22" s="10" t="s">
        <v>43</v>
      </c>
      <c r="D22" s="16" t="n">
        <f aca="false">'Operating Model'!H23</f>
        <v>1.35</v>
      </c>
    </row>
    <row r="23" customFormat="false" ht="15" hidden="false" customHeight="false" outlineLevel="0" collapsed="false">
      <c r="C23" s="10" t="s">
        <v>44</v>
      </c>
      <c r="D23" s="16" t="n">
        <f aca="false">'Operating Model'!H32</f>
        <v>0.183292</v>
      </c>
    </row>
    <row r="24" customFormat="false" ht="15" hidden="false" customHeight="false" outlineLevel="0" collapsed="false">
      <c r="C24" s="5" t="s">
        <v>45</v>
      </c>
      <c r="D24" s="19" t="n">
        <f aca="false">'Operating Model'!H35</f>
        <v>22.758630821375</v>
      </c>
    </row>
    <row r="27" customFormat="false" ht="21" hidden="false" customHeight="true" outlineLevel="0" collapsed="false">
      <c r="C27" s="14" t="s">
        <v>46</v>
      </c>
      <c r="D27" s="15"/>
      <c r="E27" s="15"/>
      <c r="F27" s="15"/>
      <c r="G27" s="15"/>
      <c r="H27" s="15"/>
      <c r="I27" s="15"/>
      <c r="J27" s="15"/>
    </row>
    <row r="28" customFormat="false" ht="15" hidden="false" customHeight="false" outlineLevel="0" collapsed="false">
      <c r="C28" s="5" t="s">
        <v>32</v>
      </c>
      <c r="D28" s="19" t="n">
        <f aca="false">Returns!D13</f>
        <v>140</v>
      </c>
    </row>
    <row r="29" customFormat="false" ht="15" hidden="false" customHeight="false" outlineLevel="0" collapsed="false">
      <c r="C29" s="10" t="s">
        <v>47</v>
      </c>
      <c r="D29" s="16" t="n">
        <f aca="false">(Returns!D18-Returns!D11)*Returns!D12</f>
        <v>87.58630821375</v>
      </c>
    </row>
    <row r="30" customFormat="false" ht="15" hidden="false" customHeight="false" outlineLevel="0" collapsed="false">
      <c r="C30" s="10" t="s">
        <v>48</v>
      </c>
      <c r="D30" s="16" t="n">
        <f aca="false">Returns!D18*(Returns!D19-Returns!D12)</f>
        <v>0</v>
      </c>
    </row>
    <row r="31" customFormat="false" ht="15" hidden="false" customHeight="false" outlineLevel="0" collapsed="false">
      <c r="C31" s="5" t="s">
        <v>35</v>
      </c>
      <c r="D31" s="20" t="n">
        <f aca="false">SUM(D28:D30)</f>
        <v>227.58630821375</v>
      </c>
    </row>
    <row r="34" customFormat="false" ht="21" hidden="false" customHeight="true" outlineLevel="0" collapsed="false">
      <c r="C34" s="14" t="s">
        <v>49</v>
      </c>
      <c r="D34" s="15"/>
      <c r="E34" s="15"/>
      <c r="F34" s="15"/>
      <c r="G34" s="15"/>
      <c r="H34" s="15"/>
      <c r="I34" s="15"/>
      <c r="J34" s="15"/>
    </row>
    <row r="35" customFormat="false" ht="30" hidden="false" customHeight="true" outlineLevel="0" collapsed="false">
      <c r="C35" s="21"/>
      <c r="D35" s="21" t="n">
        <v>2023</v>
      </c>
      <c r="E35" s="21" t="n">
        <v>2024</v>
      </c>
      <c r="F35" s="21" t="n">
        <v>2025</v>
      </c>
      <c r="G35" s="21" t="n">
        <v>2026</v>
      </c>
      <c r="H35" s="21" t="n">
        <v>2027</v>
      </c>
      <c r="I35" s="21" t="n">
        <v>2028</v>
      </c>
      <c r="J35" s="21" t="n">
        <v>2029</v>
      </c>
      <c r="K35" s="21" t="n">
        <v>2030</v>
      </c>
    </row>
    <row r="36" customFormat="false" ht="15" hidden="false" customHeight="false" outlineLevel="0" collapsed="false">
      <c r="C36" s="10" t="s">
        <v>50</v>
      </c>
      <c r="D36" s="16" t="n">
        <f aca="false">'Historical &amp; Baseline'!D7</f>
        <v>80</v>
      </c>
      <c r="E36" s="16" t="n">
        <f aca="false">'Historical &amp; Baseline'!E7</f>
        <v>90</v>
      </c>
      <c r="F36" s="16" t="n">
        <f aca="false">'Historical &amp; Baseline'!F7</f>
        <v>100</v>
      </c>
      <c r="G36" s="16" t="n">
        <f aca="false">'Operating Model'!D9</f>
        <v>106</v>
      </c>
      <c r="H36" s="16" t="n">
        <f aca="false">'Operating Model'!E9</f>
        <v>112.36</v>
      </c>
      <c r="I36" s="16" t="n">
        <f aca="false">'Operating Model'!F9</f>
        <v>118.5398</v>
      </c>
      <c r="J36" s="16" t="n">
        <f aca="false">'Operating Model'!G9</f>
        <v>124.46679</v>
      </c>
      <c r="K36" s="16" t="n">
        <f aca="false">'Operating Model'!H9</f>
        <v>130.06779555</v>
      </c>
    </row>
    <row r="37" customFormat="false" ht="15" hidden="false" customHeight="false" outlineLevel="0" collapsed="false">
      <c r="C37" s="10" t="s">
        <v>51</v>
      </c>
      <c r="D37" s="16" t="n">
        <f aca="false">'Historical &amp; Baseline'!D8</f>
        <v>10</v>
      </c>
      <c r="E37" s="16" t="n">
        <f aca="false">'Historical &amp; Baseline'!E8</f>
        <v>12.2</v>
      </c>
      <c r="F37" s="16" t="n">
        <f aca="false">'Historical &amp; Baseline'!F8</f>
        <v>14</v>
      </c>
      <c r="G37" s="16" t="n">
        <f aca="false">'Operating Model'!D35</f>
        <v>14.13097</v>
      </c>
      <c r="H37" s="16" t="n">
        <f aca="false">'Operating Model'!E35</f>
        <v>18.022434</v>
      </c>
      <c r="I37" s="16" t="n">
        <f aca="false">'Operating Model'!F35</f>
        <v>19.9255305</v>
      </c>
      <c r="J37" s="16" t="n">
        <f aca="false">'Operating Model'!G35</f>
        <v>21.5000165</v>
      </c>
      <c r="K37" s="16" t="n">
        <f aca="false">'Operating Model'!H35</f>
        <v>22.758630821375</v>
      </c>
    </row>
    <row r="40" customFormat="false" ht="21" hidden="false" customHeight="true" outlineLevel="0" collapsed="false">
      <c r="C40" s="14" t="s">
        <v>52</v>
      </c>
      <c r="D40" s="15"/>
      <c r="E40" s="15"/>
      <c r="F40" s="15"/>
      <c r="G40" s="15"/>
      <c r="H40" s="15"/>
      <c r="I40" s="15"/>
      <c r="J40" s="15"/>
      <c r="K40" s="15"/>
    </row>
    <row r="41" customFormat="false" ht="15" hidden="false" customHeight="false" outlineLevel="0" collapsed="false">
      <c r="C41" s="10" t="s">
        <v>53</v>
      </c>
      <c r="D41" s="22" t="n">
        <f aca="false">COUNTA('VCP Tracker'!C8:C67)</f>
        <v>60</v>
      </c>
    </row>
    <row r="42" customFormat="false" ht="15" hidden="false" customHeight="false" outlineLevel="0" collapsed="false">
      <c r="C42" s="10" t="s">
        <v>54</v>
      </c>
      <c r="D42" s="22" t="n">
        <f aca="false">COUNTIF('VCP Tracker'!J8:J67,"Green")</f>
        <v>45</v>
      </c>
    </row>
    <row r="43" customFormat="false" ht="15" hidden="false" customHeight="false" outlineLevel="0" collapsed="false">
      <c r="C43" s="10" t="s">
        <v>55</v>
      </c>
      <c r="D43" s="22" t="n">
        <f aca="false">COUNTIF('VCP Tracker'!J8:J67,"Amber")</f>
        <v>15</v>
      </c>
    </row>
    <row r="44" customFormat="false" ht="15" hidden="false" customHeight="false" outlineLevel="0" collapsed="false">
      <c r="C44" s="10" t="s">
        <v>56</v>
      </c>
      <c r="D44" s="22" t="n">
        <f aca="false">COUNTIF('VCP Tracker'!J8:J67,"Red")</f>
        <v>0</v>
      </c>
    </row>
    <row r="45" customFormat="false" ht="15" hidden="false" customHeight="false" outlineLevel="0" collapsed="false">
      <c r="C45" s="10" t="s">
        <v>57</v>
      </c>
      <c r="D45" s="22" t="n">
        <f aca="false">COUNTIF('VCP Tracker'!L8:L67,"Expand")</f>
        <v>6</v>
      </c>
    </row>
    <row r="48" customFormat="false" ht="21" hidden="false" customHeight="true" outlineLevel="0" collapsed="false">
      <c r="C48" s="14" t="s">
        <v>58</v>
      </c>
      <c r="D48" s="15"/>
      <c r="E48" s="15"/>
      <c r="F48" s="15"/>
      <c r="G48" s="15"/>
      <c r="H48" s="15"/>
      <c r="I48" s="15"/>
      <c r="J48" s="15"/>
    </row>
    <row r="49" customFormat="false" ht="15" hidden="false" customHeight="false" outlineLevel="0" collapsed="false">
      <c r="C49" s="5" t="s">
        <v>59</v>
      </c>
    </row>
    <row r="50" customFormat="false" ht="15" hidden="false" customHeight="false" outlineLevel="0" collapsed="false">
      <c r="C50" s="5" t="s">
        <v>60</v>
      </c>
      <c r="D50" s="23" t="n">
        <f aca="false">Sensitivity!D10</f>
        <v>1.58980167858622</v>
      </c>
      <c r="E50" s="23" t="n">
        <f aca="false">Sensitivity!E10</f>
        <v>1.81043978729805</v>
      </c>
      <c r="F50" s="23" t="n">
        <f aca="false">Sensitivity!F10</f>
        <v>2.03107789600988</v>
      </c>
      <c r="G50" s="23" t="n">
        <f aca="false">Sensitivity!G10</f>
        <v>2.25171600472171</v>
      </c>
      <c r="H50" s="23" t="n">
        <f aca="false">Sensitivity!H10</f>
        <v>2.47235411343355</v>
      </c>
    </row>
    <row r="51" customFormat="false" ht="15" hidden="false" customHeight="false" outlineLevel="0" collapsed="false">
      <c r="D51" s="23" t="n">
        <f aca="false">Sensitivity!D23</f>
        <v>1.87532274096395</v>
      </c>
      <c r="E51" s="23" t="n">
        <f aca="false">Sensitivity!E23</f>
        <v>1.89016161654924</v>
      </c>
      <c r="F51" s="23" t="n">
        <f aca="false">Sensitivity!F23</f>
        <v>1.90129077323822</v>
      </c>
      <c r="G51" s="23" t="n">
        <f aca="false">Sensitivity!G23</f>
        <v>1.91241992992719</v>
      </c>
      <c r="H51" s="23" t="n">
        <f aca="false">Sensitivity!H23</f>
        <v>1.92725880551248</v>
      </c>
    </row>
    <row r="52" customFormat="false" ht="15" hidden="false" customHeight="false" outlineLevel="0" collapsed="false">
      <c r="D52" s="23" t="n">
        <f aca="false">Sensitivity!D24</f>
        <v>2.13254302199115</v>
      </c>
      <c r="E52" s="23" t="n">
        <f aca="false">Sensitivity!E24</f>
        <v>2.14872702015709</v>
      </c>
      <c r="F52" s="23" t="n">
        <f aca="false">Sensitivity!F24</f>
        <v>2.16086501878155</v>
      </c>
      <c r="G52" s="23" t="n">
        <f aca="false">Sensitivity!G24</f>
        <v>2.173003017406</v>
      </c>
      <c r="H52" s="23" t="n">
        <f aca="false">Sensitivity!H24</f>
        <v>2.18918701557195</v>
      </c>
    </row>
    <row r="53" customFormat="false" ht="15" hidden="false" customHeight="false" outlineLevel="0" collapsed="false">
      <c r="D53" s="23" t="n">
        <f aca="false">Sensitivity!D25</f>
        <v>2.38976330301835</v>
      </c>
      <c r="E53" s="23" t="n">
        <f aca="false">Sensitivity!E25</f>
        <v>2.40729242376494</v>
      </c>
      <c r="F53" s="23" t="n">
        <f aca="false">Sensitivity!F25</f>
        <v>2.42043926432488</v>
      </c>
      <c r="G53" s="23" t="n">
        <f aca="false">Sensitivity!G25</f>
        <v>2.43358610488482</v>
      </c>
      <c r="H53" s="23" t="n">
        <f aca="false">Sensitivity!H25</f>
        <v>2.45111522563141</v>
      </c>
    </row>
    <row r="54" customFormat="false" ht="15" hidden="false" customHeight="false" outlineLevel="0" collapsed="false">
      <c r="D54" s="23" t="n">
        <f aca="false">Sensitivity!D26</f>
        <v>2.64698358404556</v>
      </c>
      <c r="E54" s="23" t="n">
        <f aca="false">Sensitivity!E26</f>
        <v>2.66585782737279</v>
      </c>
      <c r="F54" s="23" t="n">
        <f aca="false">Sensitivity!F26</f>
        <v>2.68001350986821</v>
      </c>
      <c r="G54" s="23" t="n">
        <f aca="false">Sensitivity!G26</f>
        <v>2.69416919236364</v>
      </c>
      <c r="H54" s="23" t="n">
        <f aca="false">Sensitivity!H26</f>
        <v>2.71304343569087</v>
      </c>
    </row>
    <row r="55" customFormat="false" ht="15" hidden="false" customHeight="false" outlineLevel="0" collapsed="false">
      <c r="D55" s="23" t="n">
        <f aca="false">Sensitivity!D27</f>
        <v>2.90420386507276</v>
      </c>
      <c r="E55" s="23" t="n">
        <f aca="false">Sensitivity!E27</f>
        <v>2.92442323098064</v>
      </c>
      <c r="F55" s="23" t="n">
        <f aca="false">Sensitivity!F27</f>
        <v>2.93958775541155</v>
      </c>
      <c r="G55" s="23" t="n">
        <f aca="false">Sensitivity!G27</f>
        <v>2.95475227984245</v>
      </c>
      <c r="H55" s="23" t="n">
        <f aca="false">Sensitivity!H27</f>
        <v>2.97497164575033</v>
      </c>
    </row>
    <row r="57" customFormat="false" ht="15" hidden="false" customHeight="false" outlineLevel="0" collapsed="false">
      <c r="C57" s="14" t="s">
        <v>61</v>
      </c>
    </row>
    <row r="58" customFormat="false" ht="15" hidden="false" customHeight="true" outlineLevel="0" collapsed="false">
      <c r="C58" s="7" t="s">
        <v>62</v>
      </c>
      <c r="D58" s="7"/>
      <c r="E58" s="7"/>
      <c r="F58" s="7"/>
      <c r="G58" s="7"/>
      <c r="H58" s="7"/>
      <c r="I58" s="7"/>
      <c r="J58" s="7"/>
      <c r="K58" s="7"/>
    </row>
    <row r="59" customFormat="false" ht="15" hidden="false" customHeight="false" outlineLevel="0" collapsed="false">
      <c r="C59" s="7"/>
      <c r="D59" s="7"/>
      <c r="E59" s="7"/>
      <c r="F59" s="7"/>
      <c r="G59" s="7"/>
      <c r="H59" s="7"/>
      <c r="I59" s="7"/>
      <c r="J59" s="7"/>
      <c r="K59" s="7"/>
    </row>
    <row r="60" customFormat="false" ht="15" hidden="false" customHeight="false" outlineLevel="0" collapsed="false">
      <c r="C60" s="7"/>
      <c r="D60" s="7"/>
      <c r="E60" s="7"/>
      <c r="F60" s="7"/>
      <c r="G60" s="7"/>
      <c r="H60" s="7"/>
      <c r="I60" s="7"/>
      <c r="J60" s="7"/>
      <c r="K60" s="7"/>
    </row>
  </sheetData>
  <mergeCells count="2">
    <mergeCell ref="C3:M3"/>
    <mergeCell ref="C58:K60"/>
  </mergeCells>
  <printOptions headings="false" gridLines="false" gridLinesSet="true" horizontalCentered="false" verticalCentered="false"/>
  <pageMargins left="0.25" right="0.25" top="0.45" bottom="0.4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J4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14" topLeftCell="D15" activePane="bottomRight" state="frozen"/>
      <selection pane="topLeft" activeCell="A1" activeCellId="0" sqref="A1"/>
      <selection pane="topRight" activeCell="D1" activeCellId="0" sqref="D1"/>
      <selection pane="bottomLeft" activeCell="A15" activeCellId="0" sqref="A1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42"/>
    <col collapsed="false" customWidth="true" hidden="false" outlineLevel="0" max="10" min="4" style="0" width="19"/>
    <col collapsed="false" customWidth="true" hidden="false" outlineLevel="0" max="17" min="11" style="0" width="14"/>
  </cols>
  <sheetData>
    <row r="2" customFormat="false" ht="17.35" hidden="false" customHeight="false" outlineLevel="0" collapsed="false">
      <c r="C2" s="1" t="s">
        <v>63</v>
      </c>
    </row>
    <row r="3" customFormat="false" ht="30.75" hidden="false" customHeight="true" outlineLevel="0" collapsed="false">
      <c r="C3" s="2" t="s">
        <v>64</v>
      </c>
      <c r="D3" s="2"/>
      <c r="E3" s="2"/>
      <c r="F3" s="2"/>
      <c r="G3" s="2"/>
      <c r="H3" s="2"/>
      <c r="I3" s="2"/>
      <c r="J3" s="2"/>
    </row>
    <row r="4" customFormat="false" ht="15" hidden="false" customHeight="false" outlineLevel="0" collapsed="false">
      <c r="C4" s="3"/>
      <c r="D4" s="3"/>
      <c r="E4" s="3"/>
      <c r="F4" s="3"/>
      <c r="G4" s="3"/>
      <c r="H4" s="3"/>
      <c r="I4" s="3"/>
      <c r="J4" s="3"/>
    </row>
    <row r="5" customFormat="false" ht="21" hidden="false" customHeight="true" outlineLevel="0" collapsed="false">
      <c r="C5" s="14" t="s">
        <v>65</v>
      </c>
      <c r="D5" s="15"/>
      <c r="E5" s="15"/>
      <c r="F5" s="15"/>
      <c r="G5" s="15"/>
      <c r="H5" s="15"/>
      <c r="I5" s="15"/>
      <c r="J5" s="15"/>
    </row>
    <row r="6" customFormat="false" ht="15" hidden="false" customHeight="false" outlineLevel="0" collapsed="false">
      <c r="C6" s="5" t="s">
        <v>29</v>
      </c>
      <c r="D6" s="24" t="s">
        <v>66</v>
      </c>
    </row>
    <row r="8" customFormat="false" ht="15" hidden="false" customHeight="false" outlineLevel="0" collapsed="false">
      <c r="C8" s="10" t="s">
        <v>67</v>
      </c>
      <c r="D8" s="25" t="s">
        <v>68</v>
      </c>
    </row>
    <row r="9" customFormat="false" ht="15" hidden="false" customHeight="false" outlineLevel="0" collapsed="false">
      <c r="C9" s="10" t="s">
        <v>69</v>
      </c>
      <c r="D9" s="25" t="s">
        <v>68</v>
      </c>
    </row>
    <row r="10" customFormat="false" ht="15" hidden="false" customHeight="false" outlineLevel="0" collapsed="false">
      <c r="C10" s="10" t="s">
        <v>70</v>
      </c>
      <c r="D10" s="25" t="s">
        <v>68</v>
      </c>
    </row>
    <row r="13" customFormat="false" ht="21" hidden="false" customHeight="true" outlineLevel="0" collapsed="false">
      <c r="C13" s="14" t="s">
        <v>71</v>
      </c>
      <c r="D13" s="15"/>
      <c r="E13" s="15"/>
      <c r="F13" s="15"/>
      <c r="G13" s="15"/>
      <c r="H13" s="15"/>
      <c r="I13" s="15"/>
      <c r="J13" s="15"/>
    </row>
    <row r="14" customFormat="false" ht="30" hidden="false" customHeight="true" outlineLevel="0" collapsed="false">
      <c r="C14" s="21" t="s">
        <v>72</v>
      </c>
      <c r="D14" s="21" t="s">
        <v>73</v>
      </c>
      <c r="E14" s="21" t="s">
        <v>74</v>
      </c>
      <c r="F14" s="21" t="s">
        <v>75</v>
      </c>
      <c r="G14" s="21" t="s">
        <v>76</v>
      </c>
      <c r="H14" s="21" t="s">
        <v>77</v>
      </c>
      <c r="I14" s="21" t="s">
        <v>78</v>
      </c>
      <c r="J14" s="21" t="s">
        <v>79</v>
      </c>
    </row>
    <row r="15" customFormat="false" ht="15" hidden="false" customHeight="false" outlineLevel="0" collapsed="false">
      <c r="C15" s="25" t="s">
        <v>66</v>
      </c>
      <c r="D15" s="26" t="n">
        <v>0.06</v>
      </c>
      <c r="E15" s="26" t="n">
        <v>0.06</v>
      </c>
      <c r="F15" s="26" t="n">
        <v>0.055</v>
      </c>
      <c r="G15" s="26" t="n">
        <v>0.05</v>
      </c>
      <c r="H15" s="26" t="n">
        <v>0.045</v>
      </c>
      <c r="I15" s="26" t="n">
        <v>0.0025</v>
      </c>
      <c r="J15" s="27" t="n">
        <v>10</v>
      </c>
    </row>
    <row r="16" customFormat="false" ht="15" hidden="false" customHeight="false" outlineLevel="0" collapsed="false">
      <c r="C16" s="25" t="s">
        <v>80</v>
      </c>
      <c r="D16" s="26" t="n">
        <v>0.015</v>
      </c>
      <c r="E16" s="26" t="n">
        <v>0.02</v>
      </c>
      <c r="F16" s="26" t="n">
        <v>0.025</v>
      </c>
      <c r="G16" s="26" t="n">
        <v>0.03</v>
      </c>
      <c r="H16" s="26" t="n">
        <v>0.03</v>
      </c>
      <c r="I16" s="26" t="n">
        <v>0</v>
      </c>
      <c r="J16" s="27" t="n">
        <v>8.5</v>
      </c>
    </row>
    <row r="17" customFormat="false" ht="15" hidden="false" customHeight="false" outlineLevel="0" collapsed="false">
      <c r="C17" s="25" t="s">
        <v>81</v>
      </c>
      <c r="D17" s="26" t="n">
        <v>0.08</v>
      </c>
      <c r="E17" s="26" t="n">
        <v>0.075</v>
      </c>
      <c r="F17" s="26" t="n">
        <v>0.07</v>
      </c>
      <c r="G17" s="26" t="n">
        <v>0.06</v>
      </c>
      <c r="H17" s="26" t="n">
        <v>0.05</v>
      </c>
      <c r="I17" s="26" t="n">
        <v>0.004</v>
      </c>
      <c r="J17" s="27" t="n">
        <v>11</v>
      </c>
    </row>
    <row r="20" customFormat="false" ht="21" hidden="false" customHeight="true" outlineLevel="0" collapsed="false">
      <c r="C20" s="14" t="s">
        <v>82</v>
      </c>
      <c r="D20" s="15"/>
      <c r="E20" s="15"/>
      <c r="F20" s="15"/>
      <c r="G20" s="15"/>
      <c r="H20" s="15"/>
      <c r="I20" s="15"/>
      <c r="J20" s="15"/>
    </row>
    <row r="21" customFormat="false" ht="15" hidden="false" customHeight="false" outlineLevel="0" collapsed="false">
      <c r="C21" s="10" t="s">
        <v>83</v>
      </c>
      <c r="D21" s="27" t="n">
        <v>10</v>
      </c>
    </row>
    <row r="22" customFormat="false" ht="15" hidden="false" customHeight="false" outlineLevel="0" collapsed="false">
      <c r="C22" s="10" t="s">
        <v>84</v>
      </c>
      <c r="D22" s="27" t="n">
        <v>4</v>
      </c>
    </row>
    <row r="23" customFormat="false" ht="15" hidden="false" customHeight="false" outlineLevel="0" collapsed="false">
      <c r="C23" s="10" t="s">
        <v>85</v>
      </c>
      <c r="D23" s="26" t="n">
        <v>0.02</v>
      </c>
    </row>
    <row r="24" customFormat="false" ht="15" hidden="false" customHeight="false" outlineLevel="0" collapsed="false">
      <c r="C24" s="10" t="s">
        <v>86</v>
      </c>
      <c r="D24" s="26" t="n">
        <v>0.01</v>
      </c>
    </row>
    <row r="25" customFormat="false" ht="15" hidden="false" customHeight="false" outlineLevel="0" collapsed="false">
      <c r="C25" s="10" t="s">
        <v>87</v>
      </c>
      <c r="D25" s="26" t="n">
        <v>0.25</v>
      </c>
    </row>
    <row r="26" customFormat="false" ht="15" hidden="false" customHeight="false" outlineLevel="0" collapsed="false">
      <c r="C26" s="10" t="s">
        <v>88</v>
      </c>
      <c r="D26" s="26" t="n">
        <v>0.09</v>
      </c>
    </row>
    <row r="27" customFormat="false" ht="15" hidden="false" customHeight="false" outlineLevel="0" collapsed="false">
      <c r="C27" s="10" t="s">
        <v>89</v>
      </c>
      <c r="D27" s="26" t="n">
        <v>0.025</v>
      </c>
    </row>
    <row r="28" customFormat="false" ht="15" hidden="false" customHeight="false" outlineLevel="0" collapsed="false">
      <c r="C28" s="10" t="s">
        <v>90</v>
      </c>
      <c r="D28" s="26" t="n">
        <v>0.03</v>
      </c>
    </row>
    <row r="29" customFormat="false" ht="15" hidden="false" customHeight="false" outlineLevel="0" collapsed="false">
      <c r="C29" s="10" t="s">
        <v>91</v>
      </c>
      <c r="D29" s="26" t="n">
        <v>0.08</v>
      </c>
    </row>
    <row r="30" customFormat="false" ht="15" hidden="false" customHeight="false" outlineLevel="0" collapsed="false">
      <c r="C30" s="10" t="s">
        <v>92</v>
      </c>
      <c r="D30" s="26" t="n">
        <v>0.05</v>
      </c>
    </row>
    <row r="31" customFormat="false" ht="15" hidden="false" customHeight="false" outlineLevel="0" collapsed="false">
      <c r="C31" s="10" t="s">
        <v>93</v>
      </c>
      <c r="D31" s="26" t="n">
        <v>0.75</v>
      </c>
    </row>
    <row r="32" customFormat="false" ht="15" hidden="false" customHeight="false" outlineLevel="0" collapsed="false">
      <c r="C32" s="10" t="s">
        <v>94</v>
      </c>
      <c r="D32" s="28" t="n">
        <v>1000000</v>
      </c>
    </row>
    <row r="33" customFormat="false" ht="15" hidden="false" customHeight="false" outlineLevel="0" collapsed="false">
      <c r="C33" s="10" t="s">
        <v>95</v>
      </c>
      <c r="D33" s="29" t="n">
        <v>0</v>
      </c>
    </row>
    <row r="34" customFormat="false" ht="15" hidden="false" customHeight="false" outlineLevel="0" collapsed="false">
      <c r="C34" s="10" t="s">
        <v>96</v>
      </c>
      <c r="D34" s="30" t="n">
        <v>0.0001</v>
      </c>
    </row>
    <row r="35" customFormat="false" ht="15" hidden="false" customHeight="false" outlineLevel="0" collapsed="false">
      <c r="C35" s="10" t="s">
        <v>97</v>
      </c>
      <c r="D35" s="28" t="n">
        <v>2</v>
      </c>
    </row>
    <row r="36" customFormat="false" ht="21" hidden="false" customHeight="true" outlineLevel="0" collapsed="false">
      <c r="C36" s="14" t="s">
        <v>98</v>
      </c>
      <c r="D36" s="15"/>
      <c r="E36" s="15"/>
      <c r="F36" s="15"/>
      <c r="G36" s="15"/>
      <c r="H36" s="15"/>
      <c r="I36" s="15"/>
      <c r="J36" s="15"/>
    </row>
    <row r="37" customFormat="false" ht="15" hidden="false" customHeight="false" outlineLevel="0" collapsed="false">
      <c r="C37" s="10" t="s">
        <v>99</v>
      </c>
      <c r="D37" s="26" t="n">
        <v>-0.05</v>
      </c>
    </row>
    <row r="38" customFormat="false" ht="15" hidden="false" customHeight="false" outlineLevel="0" collapsed="false">
      <c r="C38" s="10" t="s">
        <v>100</v>
      </c>
      <c r="D38" s="26" t="n">
        <v>-0.15</v>
      </c>
    </row>
    <row r="39" customFormat="false" ht="15" hidden="false" customHeight="false" outlineLevel="0" collapsed="false">
      <c r="C39" s="10" t="s">
        <v>101</v>
      </c>
      <c r="D39" s="26" t="n">
        <v>0.6</v>
      </c>
    </row>
    <row r="40" customFormat="false" ht="15" hidden="false" customHeight="false" outlineLevel="0" collapsed="false">
      <c r="C40" s="10" t="s">
        <v>102</v>
      </c>
      <c r="D40" s="26" t="n">
        <v>0.98</v>
      </c>
    </row>
    <row r="41" customFormat="false" ht="31.5" hidden="false" customHeight="true" outlineLevel="0" collapsed="false">
      <c r="C41" s="5" t="s">
        <v>103</v>
      </c>
      <c r="D41" s="7" t="s">
        <v>104</v>
      </c>
      <c r="E41" s="7"/>
      <c r="F41" s="7"/>
      <c r="G41" s="7"/>
      <c r="H41" s="7"/>
      <c r="I41" s="7"/>
      <c r="J41" s="7"/>
    </row>
    <row r="42" customFormat="false" ht="37.5" hidden="false" customHeight="true" outlineLevel="0" collapsed="false">
      <c r="C42" s="5" t="s">
        <v>105</v>
      </c>
      <c r="D42" s="7" t="s">
        <v>106</v>
      </c>
      <c r="E42" s="7"/>
      <c r="F42" s="7"/>
      <c r="G42" s="7"/>
      <c r="H42" s="7"/>
      <c r="I42" s="7"/>
      <c r="J42" s="7"/>
    </row>
  </sheetData>
  <mergeCells count="3">
    <mergeCell ref="C3:J3"/>
    <mergeCell ref="D41:J41"/>
    <mergeCell ref="D42:J42"/>
  </mergeCells>
  <dataValidations count="2">
    <dataValidation allowBlank="false" errorStyle="stop" operator="between" showDropDown="false" showErrorMessage="false" showInputMessage="false" sqref="D6" type="list">
      <formula1>"Base,Downside,Upside"</formula1>
      <formula2>0</formula2>
    </dataValidation>
    <dataValidation allowBlank="false" errorStyle="stop" operator="between" showDropDown="false" showErrorMessage="false" showInputMessage="false" sqref="D8:D10" type="list">
      <formula1>"On,Off"</formula1>
      <formula2>0</formula2>
    </dataValidation>
  </dataValidation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H1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44"/>
    <col collapsed="false" customWidth="true" hidden="false" outlineLevel="0" max="8" min="4" style="0" width="18"/>
    <col collapsed="false" customWidth="true" hidden="false" outlineLevel="0" max="17" min="9" style="0" width="14"/>
  </cols>
  <sheetData>
    <row r="2" customFormat="false" ht="17.35" hidden="false" customHeight="false" outlineLevel="0" collapsed="false">
      <c r="C2" s="1" t="s">
        <v>107</v>
      </c>
    </row>
    <row r="3" customFormat="false" ht="30.75" hidden="false" customHeight="true" outlineLevel="0" collapsed="false">
      <c r="C3" s="2" t="s">
        <v>108</v>
      </c>
      <c r="D3" s="2"/>
      <c r="E3" s="2"/>
      <c r="F3" s="2"/>
      <c r="G3" s="2"/>
      <c r="H3" s="2"/>
    </row>
    <row r="4" customFormat="false" ht="15" hidden="false" customHeight="false" outlineLevel="0" collapsed="false">
      <c r="C4" s="3"/>
      <c r="D4" s="3"/>
      <c r="E4" s="3"/>
      <c r="F4" s="3"/>
      <c r="G4" s="3"/>
      <c r="H4" s="3"/>
    </row>
    <row r="6" customFormat="false" ht="30" hidden="false" customHeight="true" outlineLevel="0" collapsed="false">
      <c r="D6" s="21" t="n">
        <v>2023</v>
      </c>
      <c r="E6" s="21" t="n">
        <v>2024</v>
      </c>
      <c r="F6" s="21" t="n">
        <v>2025</v>
      </c>
    </row>
    <row r="7" customFormat="false" ht="15" hidden="false" customHeight="false" outlineLevel="0" collapsed="false">
      <c r="C7" s="10" t="s">
        <v>50</v>
      </c>
      <c r="D7" s="29" t="n">
        <v>80</v>
      </c>
      <c r="E7" s="29" t="n">
        <v>90</v>
      </c>
      <c r="F7" s="29" t="n">
        <v>100</v>
      </c>
    </row>
    <row r="8" customFormat="false" ht="15" hidden="false" customHeight="false" outlineLevel="0" collapsed="false">
      <c r="C8" s="5" t="s">
        <v>51</v>
      </c>
      <c r="D8" s="29" t="n">
        <v>10</v>
      </c>
      <c r="E8" s="29" t="n">
        <v>12.2</v>
      </c>
      <c r="F8" s="29" t="n">
        <v>14</v>
      </c>
    </row>
    <row r="9" customFormat="false" ht="15" hidden="false" customHeight="false" outlineLevel="0" collapsed="false">
      <c r="C9" s="5" t="s">
        <v>109</v>
      </c>
      <c r="D9" s="31" t="n">
        <f aca="false">D8/D7</f>
        <v>0.125</v>
      </c>
      <c r="E9" s="31" t="n">
        <f aca="false">E8/E7</f>
        <v>0.135555555555556</v>
      </c>
      <c r="F9" s="31" t="n">
        <f aca="false">F8/F7</f>
        <v>0.14</v>
      </c>
    </row>
    <row r="12" customFormat="false" ht="15" hidden="false" customHeight="true" outlineLevel="0" collapsed="false">
      <c r="C12" s="32" t="s">
        <v>110</v>
      </c>
      <c r="D12" s="32"/>
      <c r="E12" s="32"/>
      <c r="F12" s="32"/>
      <c r="G12" s="32"/>
      <c r="H12" s="32"/>
    </row>
  </sheetData>
  <mergeCells count="2">
    <mergeCell ref="C3:H3"/>
    <mergeCell ref="C12:H1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O3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28"/>
    <col collapsed="false" customWidth="true" hidden="false" outlineLevel="0" max="4" min="4" style="0" width="15"/>
    <col collapsed="false" customWidth="true" hidden="false" outlineLevel="0" max="5" min="5" style="0" width="12"/>
    <col collapsed="false" customWidth="true" hidden="false" outlineLevel="0" max="6" min="6" style="0" width="15"/>
    <col collapsed="false" customWidth="true" hidden="false" outlineLevel="0" max="7" min="7" style="0" width="22"/>
    <col collapsed="false" customWidth="true" hidden="false" outlineLevel="0" max="8" min="8" style="0" width="21"/>
    <col collapsed="false" customWidth="true" hidden="false" outlineLevel="0" max="9" min="9" style="0" width="14"/>
    <col collapsed="false" customWidth="true" hidden="false" outlineLevel="0" max="10" min="10" style="0" width="46"/>
    <col collapsed="false" customWidth="true" hidden="false" outlineLevel="0" max="17" min="11" style="0" width="14"/>
  </cols>
  <sheetData>
    <row r="2" customFormat="false" ht="17.35" hidden="false" customHeight="false" outlineLevel="0" collapsed="false">
      <c r="C2" s="1" t="s">
        <v>111</v>
      </c>
    </row>
    <row r="3" customFormat="false" ht="30.75" hidden="false" customHeight="true" outlineLevel="0" collapsed="false">
      <c r="C3" s="2" t="s">
        <v>112</v>
      </c>
      <c r="D3" s="2"/>
      <c r="E3" s="2"/>
      <c r="F3" s="2"/>
      <c r="G3" s="2"/>
      <c r="H3" s="2"/>
      <c r="I3" s="2"/>
      <c r="J3" s="2"/>
      <c r="K3" s="2"/>
      <c r="L3" s="2"/>
      <c r="M3" s="2"/>
      <c r="N3" s="2"/>
      <c r="O3" s="2"/>
    </row>
    <row r="4" customFormat="false" ht="15" hidden="false" customHeight="false" outlineLevel="0" collapsed="false">
      <c r="C4" s="3"/>
      <c r="D4" s="3"/>
      <c r="E4" s="3"/>
      <c r="F4" s="3"/>
      <c r="G4" s="3"/>
      <c r="H4" s="3"/>
      <c r="I4" s="3"/>
      <c r="J4" s="3"/>
      <c r="K4" s="3"/>
      <c r="L4" s="3"/>
      <c r="M4" s="3"/>
      <c r="N4" s="3"/>
      <c r="O4" s="3"/>
    </row>
    <row r="5" customFormat="false" ht="15" hidden="false" customHeight="true" outlineLevel="0" collapsed="false">
      <c r="C5" s="32" t="s">
        <v>113</v>
      </c>
      <c r="D5" s="32"/>
      <c r="E5" s="32"/>
      <c r="F5" s="32"/>
      <c r="G5" s="32"/>
      <c r="H5" s="32"/>
      <c r="I5" s="32"/>
      <c r="J5" s="32"/>
      <c r="K5" s="32"/>
      <c r="L5" s="32"/>
      <c r="M5" s="32"/>
      <c r="N5" s="32"/>
      <c r="O5" s="32"/>
    </row>
    <row r="6" customFormat="false" ht="30" hidden="false" customHeight="true" outlineLevel="0" collapsed="false">
      <c r="C6" s="21" t="s">
        <v>114</v>
      </c>
      <c r="D6" s="21" t="s">
        <v>115</v>
      </c>
      <c r="E6" s="21" t="s">
        <v>116</v>
      </c>
      <c r="F6" s="21" t="s">
        <v>117</v>
      </c>
      <c r="G6" s="21" t="s">
        <v>118</v>
      </c>
      <c r="H6" s="21" t="s">
        <v>119</v>
      </c>
      <c r="I6" s="21" t="s">
        <v>120</v>
      </c>
      <c r="J6" s="21" t="s">
        <v>121</v>
      </c>
      <c r="K6" s="21" t="s">
        <v>122</v>
      </c>
      <c r="L6" s="21" t="s">
        <v>123</v>
      </c>
      <c r="M6" s="21" t="s">
        <v>124</v>
      </c>
      <c r="N6" s="21" t="s">
        <v>125</v>
      </c>
      <c r="O6" s="21" t="s">
        <v>126</v>
      </c>
    </row>
    <row r="7" customFormat="false" ht="15" hidden="false" customHeight="false" outlineLevel="0" collapsed="false">
      <c r="C7" s="10" t="s">
        <v>67</v>
      </c>
      <c r="D7" s="25" t="s">
        <v>66</v>
      </c>
      <c r="E7" s="28" t="n">
        <v>1</v>
      </c>
      <c r="F7" s="26" t="n">
        <v>0.8</v>
      </c>
      <c r="G7" s="29" t="n">
        <v>0.35</v>
      </c>
      <c r="H7" s="29" t="n">
        <v>0.05</v>
      </c>
      <c r="I7" s="26" t="n">
        <v>0.8</v>
      </c>
      <c r="J7" s="25" t="s">
        <v>127</v>
      </c>
      <c r="K7" s="26" t="n">
        <v>0.3</v>
      </c>
      <c r="L7" s="26" t="n">
        <v>0.65</v>
      </c>
      <c r="M7" s="26" t="n">
        <v>0.85</v>
      </c>
      <c r="N7" s="26" t="n">
        <v>0.95</v>
      </c>
      <c r="O7" s="26" t="n">
        <v>1</v>
      </c>
    </row>
    <row r="8" customFormat="false" ht="15" hidden="false" customHeight="false" outlineLevel="0" collapsed="false">
      <c r="C8" s="10" t="s">
        <v>67</v>
      </c>
      <c r="D8" s="25" t="s">
        <v>80</v>
      </c>
      <c r="E8" s="28" t="n">
        <v>2</v>
      </c>
      <c r="F8" s="26" t="n">
        <v>0.55</v>
      </c>
      <c r="G8" s="29" t="n">
        <v>0.5</v>
      </c>
      <c r="H8" s="29" t="n">
        <v>0.07</v>
      </c>
      <c r="I8" s="26" t="n">
        <v>0.55</v>
      </c>
      <c r="J8" s="25" t="s">
        <v>127</v>
      </c>
      <c r="K8" s="26" t="n">
        <v>0</v>
      </c>
      <c r="L8" s="26" t="n">
        <v>0.25</v>
      </c>
      <c r="M8" s="26" t="n">
        <v>0.55</v>
      </c>
      <c r="N8" s="26" t="n">
        <v>0.75</v>
      </c>
      <c r="O8" s="26" t="n">
        <v>0.85</v>
      </c>
    </row>
    <row r="9" customFormat="false" ht="15" hidden="false" customHeight="false" outlineLevel="0" collapsed="false">
      <c r="C9" s="10" t="s">
        <v>67</v>
      </c>
      <c r="D9" s="25" t="s">
        <v>81</v>
      </c>
      <c r="E9" s="28" t="n">
        <v>1</v>
      </c>
      <c r="F9" s="26" t="n">
        <v>0.9</v>
      </c>
      <c r="G9" s="29" t="n">
        <v>0.32</v>
      </c>
      <c r="H9" s="29" t="n">
        <v>0.04</v>
      </c>
      <c r="I9" s="26" t="n">
        <v>0.9</v>
      </c>
      <c r="J9" s="25" t="s">
        <v>128</v>
      </c>
      <c r="K9" s="26" t="n">
        <v>0.4</v>
      </c>
      <c r="L9" s="26" t="n">
        <v>0.75</v>
      </c>
      <c r="M9" s="26" t="n">
        <v>0.95</v>
      </c>
      <c r="N9" s="26" t="n">
        <v>1</v>
      </c>
      <c r="O9" s="26" t="n">
        <v>1</v>
      </c>
    </row>
    <row r="14" customFormat="false" ht="15" hidden="false" customHeight="false" outlineLevel="0" collapsed="false">
      <c r="C14" s="10" t="s">
        <v>69</v>
      </c>
      <c r="D14" s="25" t="s">
        <v>66</v>
      </c>
      <c r="E14" s="28" t="n">
        <v>1</v>
      </c>
      <c r="F14" s="26" t="n">
        <v>0.75</v>
      </c>
      <c r="G14" s="29" t="n">
        <v>0.4</v>
      </c>
      <c r="H14" s="29" t="n">
        <v>0</v>
      </c>
      <c r="I14" s="26" t="n">
        <v>0.75</v>
      </c>
      <c r="J14" s="25" t="s">
        <v>129</v>
      </c>
      <c r="K14" s="26" t="n">
        <v>0.25</v>
      </c>
      <c r="L14" s="26" t="n">
        <v>0.6</v>
      </c>
      <c r="M14" s="26" t="n">
        <v>0.85</v>
      </c>
      <c r="N14" s="26" t="n">
        <v>1</v>
      </c>
      <c r="O14" s="26" t="n">
        <v>1</v>
      </c>
    </row>
    <row r="15" customFormat="false" ht="15" hidden="false" customHeight="false" outlineLevel="0" collapsed="false">
      <c r="C15" s="10" t="s">
        <v>69</v>
      </c>
      <c r="D15" s="25" t="s">
        <v>80</v>
      </c>
      <c r="E15" s="28" t="n">
        <v>2</v>
      </c>
      <c r="F15" s="26" t="n">
        <v>0.55</v>
      </c>
      <c r="G15" s="29" t="n">
        <v>0.55</v>
      </c>
      <c r="H15" s="29" t="n">
        <v>0</v>
      </c>
      <c r="I15" s="26" t="n">
        <v>0.55</v>
      </c>
      <c r="J15" s="25" t="s">
        <v>130</v>
      </c>
      <c r="K15" s="26" t="n">
        <v>0</v>
      </c>
      <c r="L15" s="26" t="n">
        <v>0.25</v>
      </c>
      <c r="M15" s="26" t="n">
        <v>0.5</v>
      </c>
      <c r="N15" s="26" t="n">
        <v>0.7</v>
      </c>
      <c r="O15" s="26" t="n">
        <v>0.8</v>
      </c>
    </row>
    <row r="16" customFormat="false" ht="15" hidden="false" customHeight="false" outlineLevel="0" collapsed="false">
      <c r="C16" s="10" t="s">
        <v>69</v>
      </c>
      <c r="D16" s="25" t="s">
        <v>81</v>
      </c>
      <c r="E16" s="28" t="n">
        <v>1</v>
      </c>
      <c r="F16" s="26" t="n">
        <v>0.9</v>
      </c>
      <c r="G16" s="29" t="n">
        <v>0.35</v>
      </c>
      <c r="H16" s="29" t="n">
        <v>0</v>
      </c>
      <c r="I16" s="26" t="n">
        <v>0.9</v>
      </c>
      <c r="J16" s="25" t="s">
        <v>131</v>
      </c>
      <c r="K16" s="26" t="n">
        <v>0.35</v>
      </c>
      <c r="L16" s="26" t="n">
        <v>0.75</v>
      </c>
      <c r="M16" s="26" t="n">
        <v>1</v>
      </c>
      <c r="N16" s="26" t="n">
        <v>1</v>
      </c>
      <c r="O16" s="26" t="n">
        <v>1</v>
      </c>
    </row>
    <row r="21" customFormat="false" ht="15" hidden="false" customHeight="false" outlineLevel="0" collapsed="false">
      <c r="C21" s="10" t="s">
        <v>70</v>
      </c>
      <c r="D21" s="25" t="s">
        <v>66</v>
      </c>
      <c r="E21" s="28" t="n">
        <v>1</v>
      </c>
      <c r="F21" s="26" t="n">
        <v>0.65</v>
      </c>
      <c r="G21" s="29" t="n">
        <v>0.85</v>
      </c>
      <c r="H21" s="29" t="n">
        <v>0.2</v>
      </c>
      <c r="I21" s="26" t="n">
        <v>0.7</v>
      </c>
      <c r="J21" s="25" t="s">
        <v>132</v>
      </c>
      <c r="K21" s="26" t="n">
        <v>0.25</v>
      </c>
      <c r="L21" s="26" t="n">
        <v>0.55</v>
      </c>
      <c r="M21" s="26" t="n">
        <v>0.75</v>
      </c>
      <c r="N21" s="26" t="n">
        <v>0.85</v>
      </c>
      <c r="O21" s="26" t="n">
        <v>0.9</v>
      </c>
    </row>
    <row r="22" customFormat="false" ht="15" hidden="false" customHeight="false" outlineLevel="0" collapsed="false">
      <c r="C22" s="10" t="s">
        <v>70</v>
      </c>
      <c r="D22" s="25" t="s">
        <v>80</v>
      </c>
      <c r="E22" s="28" t="n">
        <v>2</v>
      </c>
      <c r="F22" s="26" t="n">
        <v>0.4</v>
      </c>
      <c r="G22" s="29" t="n">
        <v>0.95</v>
      </c>
      <c r="H22" s="29" t="n">
        <v>0.24</v>
      </c>
      <c r="I22" s="26" t="n">
        <v>0.4</v>
      </c>
      <c r="J22" s="25" t="s">
        <v>133</v>
      </c>
      <c r="K22" s="26" t="n">
        <v>0</v>
      </c>
      <c r="L22" s="26" t="n">
        <v>0.2</v>
      </c>
      <c r="M22" s="26" t="n">
        <v>0.35</v>
      </c>
      <c r="N22" s="26" t="n">
        <v>0.5</v>
      </c>
      <c r="O22" s="26" t="n">
        <v>0.6</v>
      </c>
    </row>
    <row r="23" customFormat="false" ht="15" hidden="false" customHeight="false" outlineLevel="0" collapsed="false">
      <c r="C23" s="10" t="s">
        <v>70</v>
      </c>
      <c r="D23" s="25" t="s">
        <v>81</v>
      </c>
      <c r="E23" s="28" t="n">
        <v>1</v>
      </c>
      <c r="F23" s="26" t="n">
        <v>0.8</v>
      </c>
      <c r="G23" s="29" t="n">
        <v>0.75</v>
      </c>
      <c r="H23" s="29" t="n">
        <v>0.18</v>
      </c>
      <c r="I23" s="26" t="n">
        <v>0.8</v>
      </c>
      <c r="J23" s="25" t="s">
        <v>134</v>
      </c>
      <c r="K23" s="26" t="n">
        <v>0.35</v>
      </c>
      <c r="L23" s="26" t="n">
        <v>0.7</v>
      </c>
      <c r="M23" s="26" t="n">
        <v>0.9</v>
      </c>
      <c r="N23" s="26" t="n">
        <v>1</v>
      </c>
      <c r="O23" s="26" t="n">
        <v>1</v>
      </c>
    </row>
    <row r="26" customFormat="false" ht="21" hidden="false" customHeight="true" outlineLevel="0" collapsed="false">
      <c r="C26" s="14" t="s">
        <v>135</v>
      </c>
      <c r="D26" s="15"/>
      <c r="E26" s="15"/>
      <c r="F26" s="15"/>
      <c r="G26" s="15"/>
      <c r="H26" s="15"/>
      <c r="I26" s="15"/>
    </row>
    <row r="27" customFormat="false" ht="30" hidden="false" customHeight="true" outlineLevel="0" collapsed="false">
      <c r="C27" s="21" t="s">
        <v>114</v>
      </c>
      <c r="D27" s="21" t="s">
        <v>136</v>
      </c>
      <c r="E27" s="21" t="s">
        <v>137</v>
      </c>
      <c r="F27" s="21" t="s">
        <v>138</v>
      </c>
      <c r="G27" s="21" t="s">
        <v>139</v>
      </c>
      <c r="H27" s="21" t="s">
        <v>140</v>
      </c>
      <c r="I27" s="21" t="s">
        <v>141</v>
      </c>
      <c r="J27" s="21" t="s">
        <v>142</v>
      </c>
      <c r="K27" s="21" t="s">
        <v>143</v>
      </c>
    </row>
    <row r="28" customFormat="false" ht="15" hidden="false" customHeight="false" outlineLevel="0" collapsed="false">
      <c r="C28" s="25" t="s">
        <v>67</v>
      </c>
      <c r="D28" s="29" t="n">
        <v>2.4</v>
      </c>
      <c r="E28" s="29" t="n">
        <v>0.6</v>
      </c>
      <c r="F28" s="28" t="n">
        <v>0</v>
      </c>
      <c r="G28" s="33" t="n">
        <v>0</v>
      </c>
      <c r="H28" s="26" t="n">
        <v>0</v>
      </c>
      <c r="I28" s="25" t="s">
        <v>144</v>
      </c>
      <c r="J28" s="25" t="s">
        <v>145</v>
      </c>
      <c r="K28" s="25" t="s">
        <v>146</v>
      </c>
    </row>
    <row r="29" customFormat="false" ht="15" hidden="false" customHeight="false" outlineLevel="0" collapsed="false">
      <c r="C29" s="25" t="s">
        <v>69</v>
      </c>
      <c r="D29" s="29" t="n">
        <v>1.8</v>
      </c>
      <c r="E29" s="29" t="n">
        <v>0</v>
      </c>
      <c r="F29" s="28" t="n">
        <v>0</v>
      </c>
      <c r="G29" s="33" t="n">
        <v>0</v>
      </c>
      <c r="H29" s="26" t="n">
        <v>0</v>
      </c>
      <c r="I29" s="25" t="s">
        <v>147</v>
      </c>
      <c r="J29" s="25" t="s">
        <v>148</v>
      </c>
      <c r="K29" s="25" t="s">
        <v>149</v>
      </c>
    </row>
    <row r="30" customFormat="false" ht="15" hidden="false" customHeight="false" outlineLevel="0" collapsed="false">
      <c r="C30" s="25" t="s">
        <v>70</v>
      </c>
      <c r="D30" s="29" t="n">
        <v>0</v>
      </c>
      <c r="E30" s="29" t="n">
        <v>0</v>
      </c>
      <c r="F30" s="28" t="n">
        <v>18000</v>
      </c>
      <c r="G30" s="33" t="n">
        <v>52</v>
      </c>
      <c r="H30" s="26" t="n">
        <v>0.7</v>
      </c>
      <c r="I30" s="25" t="s">
        <v>150</v>
      </c>
      <c r="J30" s="25" t="s">
        <v>151</v>
      </c>
      <c r="K30" s="25" t="s">
        <v>152</v>
      </c>
    </row>
    <row r="33" customFormat="false" ht="36" hidden="false" customHeight="true" outlineLevel="0" collapsed="false">
      <c r="C33" s="7" t="s">
        <v>153</v>
      </c>
      <c r="D33" s="7"/>
      <c r="E33" s="7"/>
      <c r="F33" s="7"/>
      <c r="G33" s="7"/>
      <c r="H33" s="7"/>
      <c r="I33" s="7"/>
      <c r="J33" s="7"/>
      <c r="K33" s="7"/>
    </row>
    <row r="34" customFormat="false" ht="15" hidden="false" customHeight="false" outlineLevel="0" collapsed="false">
      <c r="C34" s="7"/>
      <c r="D34" s="7"/>
      <c r="E34" s="7"/>
      <c r="F34" s="7"/>
      <c r="G34" s="7"/>
      <c r="H34" s="7"/>
      <c r="I34" s="7"/>
      <c r="J34" s="7"/>
      <c r="K34" s="7"/>
    </row>
  </sheetData>
  <autoFilter ref="C6:O23"/>
  <mergeCells count="3">
    <mergeCell ref="C3:O3"/>
    <mergeCell ref="C5:O5"/>
    <mergeCell ref="C33:K34"/>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J3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61"/>
    <col collapsed="false" customWidth="true" hidden="false" outlineLevel="0" max="8" min="4" style="0" width="15"/>
    <col collapsed="false" customWidth="true" hidden="false" outlineLevel="0" max="17" min="9" style="0" width="14"/>
  </cols>
  <sheetData>
    <row r="2" customFormat="false" ht="17.35" hidden="false" customHeight="false" outlineLevel="0" collapsed="false">
      <c r="C2" s="1" t="s">
        <v>154</v>
      </c>
    </row>
    <row r="3" customFormat="false" ht="30.75" hidden="false" customHeight="true" outlineLevel="0" collapsed="false">
      <c r="C3" s="2" t="s">
        <v>155</v>
      </c>
      <c r="D3" s="2"/>
      <c r="E3" s="2"/>
      <c r="F3" s="2"/>
      <c r="G3" s="2"/>
      <c r="H3" s="2"/>
      <c r="I3" s="2"/>
      <c r="J3" s="2"/>
    </row>
    <row r="4" customFormat="false" ht="15" hidden="false" customHeight="false" outlineLevel="0" collapsed="false">
      <c r="C4" s="3"/>
      <c r="D4" s="3"/>
      <c r="E4" s="3"/>
      <c r="F4" s="3"/>
      <c r="G4" s="3"/>
      <c r="H4" s="3"/>
      <c r="I4" s="3"/>
      <c r="J4" s="3"/>
    </row>
    <row r="5" customFormat="false" ht="15" hidden="false" customHeight="false" outlineLevel="0" collapsed="false">
      <c r="C5" s="5" t="s">
        <v>29</v>
      </c>
      <c r="D5" s="13" t="str">
        <f aca="false">Controls!D6</f>
        <v>Base</v>
      </c>
    </row>
    <row r="6" customFormat="false" ht="30" hidden="false" customHeight="true" outlineLevel="0" collapsed="false">
      <c r="C6" s="21" t="s">
        <v>156</v>
      </c>
      <c r="D6" s="34" t="n">
        <v>1</v>
      </c>
      <c r="E6" s="34" t="n">
        <v>2</v>
      </c>
      <c r="F6" s="34" t="n">
        <v>3</v>
      </c>
      <c r="G6" s="34" t="n">
        <v>4</v>
      </c>
      <c r="H6" s="34" t="n">
        <v>5</v>
      </c>
    </row>
    <row r="7" customFormat="false" ht="21" hidden="false" customHeight="true" outlineLevel="0" collapsed="false">
      <c r="C7" s="14" t="s">
        <v>157</v>
      </c>
      <c r="D7" s="15"/>
      <c r="E7" s="15"/>
      <c r="F7" s="15"/>
      <c r="G7" s="15"/>
      <c r="H7" s="15"/>
    </row>
    <row r="8" customFormat="false" ht="15" hidden="false" customHeight="false" outlineLevel="0" collapsed="false">
      <c r="C8" s="10" t="s">
        <v>158</v>
      </c>
      <c r="D8" s="35" t="n">
        <f aca="false">INDEX(Controls!$D$15:$H$17,MATCH(Controls!$D$6,Controls!$C$15:$C$17,0),D$6)</f>
        <v>0.06</v>
      </c>
      <c r="E8" s="35" t="n">
        <f aca="false">INDEX(Controls!$D$15:$H$17,MATCH(Controls!$D$6,Controls!$C$15:$C$17,0),E$6)</f>
        <v>0.06</v>
      </c>
      <c r="F8" s="35" t="n">
        <f aca="false">INDEX(Controls!$D$15:$H$17,MATCH(Controls!$D$6,Controls!$C$15:$C$17,0),F$6)</f>
        <v>0.055</v>
      </c>
      <c r="G8" s="35" t="n">
        <f aca="false">INDEX(Controls!$D$15:$H$17,MATCH(Controls!$D$6,Controls!$C$15:$C$17,0),G$6)</f>
        <v>0.05</v>
      </c>
      <c r="H8" s="35" t="n">
        <f aca="false">INDEX(Controls!$D$15:$H$17,MATCH(Controls!$D$6,Controls!$C$15:$C$17,0),H$6)</f>
        <v>0.045</v>
      </c>
    </row>
    <row r="9" customFormat="false" ht="15" hidden="false" customHeight="false" outlineLevel="0" collapsed="false">
      <c r="C9" s="10" t="s">
        <v>159</v>
      </c>
      <c r="D9" s="19" t="n">
        <f aca="false">'Historical &amp; Baseline'!F7*(1+D8)</f>
        <v>106</v>
      </c>
      <c r="E9" s="20" t="n">
        <f aca="false">D9*(1+E8)</f>
        <v>112.36</v>
      </c>
      <c r="F9" s="20" t="n">
        <f aca="false">E9*(1+F8)</f>
        <v>118.5398</v>
      </c>
      <c r="G9" s="20" t="n">
        <f aca="false">F9*(1+G8)</f>
        <v>124.46679</v>
      </c>
      <c r="H9" s="20" t="n">
        <f aca="false">G9*(1+H8)</f>
        <v>130.06779555</v>
      </c>
    </row>
    <row r="10" customFormat="false" ht="15" hidden="false" customHeight="false" outlineLevel="0" collapsed="false">
      <c r="C10" s="10" t="s">
        <v>160</v>
      </c>
      <c r="D10" s="35" t="n">
        <f aca="false">'Historical &amp; Baseline'!F9+INDEX(Controls!$I$15:$I$17,MATCH(Controls!$D$6,Controls!$C$15:$C$17,0))</f>
        <v>0.1425</v>
      </c>
      <c r="E10" s="35" t="n">
        <f aca="false">D10+INDEX(Controls!$I$15:$I$17,MATCH(Controls!$D$6,Controls!$C$15:$C$17,0))</f>
        <v>0.145</v>
      </c>
      <c r="F10" s="35" t="n">
        <f aca="false">E10+INDEX(Controls!$I$15:$I$17,MATCH(Controls!$D$6,Controls!$C$15:$C$17,0))</f>
        <v>0.1475</v>
      </c>
      <c r="G10" s="35" t="n">
        <f aca="false">F10+INDEX(Controls!$I$15:$I$17,MATCH(Controls!$D$6,Controls!$C$15:$C$17,0))</f>
        <v>0.15</v>
      </c>
      <c r="H10" s="35" t="n">
        <f aca="false">G10+INDEX(Controls!$I$15:$I$17,MATCH(Controls!$D$6,Controls!$C$15:$C$17,0))</f>
        <v>0.1525</v>
      </c>
    </row>
    <row r="11" customFormat="false" ht="15" hidden="false" customHeight="false" outlineLevel="0" collapsed="false">
      <c r="C11" s="36" t="s">
        <v>161</v>
      </c>
      <c r="D11" s="37" t="n">
        <f aca="false">D9*D10</f>
        <v>15.105</v>
      </c>
      <c r="E11" s="37" t="n">
        <f aca="false">E9*E10</f>
        <v>16.2922</v>
      </c>
      <c r="F11" s="37" t="n">
        <f aca="false">F9*F10</f>
        <v>17.4846205</v>
      </c>
      <c r="G11" s="37" t="n">
        <f aca="false">G9*G10</f>
        <v>18.6700185</v>
      </c>
      <c r="H11" s="37" t="n">
        <f aca="false">H9*H10</f>
        <v>19.835338821375</v>
      </c>
    </row>
    <row r="12" customFormat="false" ht="21" hidden="false" customHeight="true" outlineLevel="0" collapsed="false">
      <c r="C12" s="14" t="s">
        <v>67</v>
      </c>
      <c r="D12" s="15"/>
      <c r="E12" s="15"/>
      <c r="F12" s="15"/>
      <c r="G12" s="15"/>
      <c r="H12" s="15"/>
    </row>
    <row r="13" customFormat="false" ht="21" hidden="false" customHeight="true" outlineLevel="0" collapsed="false">
      <c r="C13" s="14" t="s">
        <v>162</v>
      </c>
      <c r="D13" s="15"/>
      <c r="E13" s="15"/>
      <c r="F13" s="15"/>
      <c r="G13" s="15"/>
      <c r="H13" s="15"/>
    </row>
    <row r="14" customFormat="false" ht="15" hidden="false" customHeight="false" outlineLevel="0" collapsed="false">
      <c r="C14" s="10" t="s">
        <v>163</v>
      </c>
      <c r="D14" s="35" t="n">
        <f aca="false">IF(D$6&gt;=INDEX(Initiatives!$E$7:$E$9,MATCH(Controls!$D$6,Initiatives!$D$7:$D$9,0)),INDEX(Initiatives!$K$7:$O$9,MATCH(Controls!$D$6,Initiatives!$D$7:$D$9,0),D$6),0)</f>
        <v>0.3</v>
      </c>
      <c r="E14" s="35" t="n">
        <f aca="false">IF(E$6&gt;=INDEX(Initiatives!$E$7:$E$9,MATCH(Controls!$D$6,Initiatives!$D$7:$D$9,0)),INDEX(Initiatives!$K$7:$O$9,MATCH(Controls!$D$6,Initiatives!$D$7:$D$9,0),E$6),0)</f>
        <v>0.65</v>
      </c>
      <c r="F14" s="35" t="n">
        <f aca="false">IF(F$6&gt;=INDEX(Initiatives!$E$7:$E$9,MATCH(Controls!$D$6,Initiatives!$D$7:$D$9,0)),INDEX(Initiatives!$K$7:$O$9,MATCH(Controls!$D$6,Initiatives!$D$7:$D$9,0),F$6),0)</f>
        <v>0.85</v>
      </c>
      <c r="G14" s="35" t="n">
        <f aca="false">IF(G$6&gt;=INDEX(Initiatives!$E$7:$E$9,MATCH(Controls!$D$6,Initiatives!$D$7:$D$9,0)),INDEX(Initiatives!$K$7:$O$9,MATCH(Controls!$D$6,Initiatives!$D$7:$D$9,0),G$6),0)</f>
        <v>0.95</v>
      </c>
      <c r="H14" s="35" t="n">
        <f aca="false">IF(H$6&gt;=INDEX(Initiatives!$E$7:$E$9,MATCH(Controls!$D$6,Initiatives!$D$7:$D$9,0)),INDEX(Initiatives!$K$7:$O$9,MATCH(Controls!$D$6,Initiatives!$D$7:$D$9,0),H$6),0)</f>
        <v>1</v>
      </c>
    </row>
    <row r="15" customFormat="false" ht="15" hidden="false" customHeight="false" outlineLevel="0" collapsed="false">
      <c r="C15" s="10" t="s">
        <v>164</v>
      </c>
      <c r="D15" s="16" t="n">
        <f aca="false">IF(Controls!$D$8="On",(Initiatives!$D$28-Initiatives!$E$28)*D14*INDEX(Initiatives!$F$7:$F$9,MATCH(Controls!$D$6,Initiatives!$D$7:$D$9,0)),0)</f>
        <v>0.432</v>
      </c>
      <c r="E15" s="16" t="n">
        <f aca="false">IF(Controls!$D$8="On",(Initiatives!$D$28-Initiatives!$E$28)*E14*INDEX(Initiatives!$F$7:$F$9,MATCH(Controls!$D$6,Initiatives!$D$7:$D$9,0)),0)</f>
        <v>0.936</v>
      </c>
      <c r="F15" s="16" t="n">
        <f aca="false">IF(Controls!$D$8="On",(Initiatives!$D$28-Initiatives!$E$28)*F14*INDEX(Initiatives!$F$7:$F$9,MATCH(Controls!$D$6,Initiatives!$D$7:$D$9,0)),0)</f>
        <v>1.224</v>
      </c>
      <c r="G15" s="16" t="n">
        <f aca="false">IF(Controls!$D$8="On",(Initiatives!$D$28-Initiatives!$E$28)*G14*INDEX(Initiatives!$F$7:$F$9,MATCH(Controls!$D$6,Initiatives!$D$7:$D$9,0)),0)</f>
        <v>1.368</v>
      </c>
      <c r="H15" s="16" t="n">
        <f aca="false">IF(Controls!$D$8="On",(Initiatives!$D$28-Initiatives!$E$28)*H14*INDEX(Initiatives!$F$7:$F$9,MATCH(Controls!$D$6,Initiatives!$D$7:$D$9,0)),0)</f>
        <v>1.44</v>
      </c>
    </row>
    <row r="16" customFormat="false" ht="15" hidden="false" customHeight="false" outlineLevel="0" collapsed="false">
      <c r="C16" s="10" t="s">
        <v>165</v>
      </c>
      <c r="D16" s="16" t="n">
        <f aca="false">IF(AND(Controls!$D$8="On",D$6=INDEX(Initiatives!$E$7:$E$9,MATCH(Controls!$D$6,Initiatives!$D$7:$D$9,0))),INDEX(Initiatives!$G$7:$G$9,MATCH(Controls!$D$6,Initiatives!$D$7:$D$9,0)),0)+IF(AND(Controls!$D$8="On",D$6&gt;=INDEX(Initiatives!$E$7:$E$9,MATCH(Controls!$D$6,Initiatives!$D$7:$D$9,0))),INDEX(Initiatives!$H$7:$H$9,MATCH(Controls!$D$6,Initiatives!$D$7:$D$9,0)),0)</f>
        <v>0.4</v>
      </c>
      <c r="E16" s="16" t="n">
        <f aca="false">IF(AND(Controls!$D$8="On",E$6=INDEX(Initiatives!$E$7:$E$9,MATCH(Controls!$D$6,Initiatives!$D$7:$D$9,0))),INDEX(Initiatives!$G$7:$G$9,MATCH(Controls!$D$6,Initiatives!$D$7:$D$9,0)),0)+IF(AND(Controls!$D$8="On",E$6&gt;=INDEX(Initiatives!$E$7:$E$9,MATCH(Controls!$D$6,Initiatives!$D$7:$D$9,0))),INDEX(Initiatives!$H$7:$H$9,MATCH(Controls!$D$6,Initiatives!$D$7:$D$9,0)),0)</f>
        <v>0.05</v>
      </c>
      <c r="F16" s="16" t="n">
        <f aca="false">IF(AND(Controls!$D$8="On",F$6=INDEX(Initiatives!$E$7:$E$9,MATCH(Controls!$D$6,Initiatives!$D$7:$D$9,0))),INDEX(Initiatives!$G$7:$G$9,MATCH(Controls!$D$6,Initiatives!$D$7:$D$9,0)),0)+IF(AND(Controls!$D$8="On",F$6&gt;=INDEX(Initiatives!$E$7:$E$9,MATCH(Controls!$D$6,Initiatives!$D$7:$D$9,0))),INDEX(Initiatives!$H$7:$H$9,MATCH(Controls!$D$6,Initiatives!$D$7:$D$9,0)),0)</f>
        <v>0.05</v>
      </c>
      <c r="G16" s="16" t="n">
        <f aca="false">IF(AND(Controls!$D$8="On",G$6=INDEX(Initiatives!$E$7:$E$9,MATCH(Controls!$D$6,Initiatives!$D$7:$D$9,0))),INDEX(Initiatives!$G$7:$G$9,MATCH(Controls!$D$6,Initiatives!$D$7:$D$9,0)),0)+IF(AND(Controls!$D$8="On",G$6&gt;=INDEX(Initiatives!$E$7:$E$9,MATCH(Controls!$D$6,Initiatives!$D$7:$D$9,0))),INDEX(Initiatives!$H$7:$H$9,MATCH(Controls!$D$6,Initiatives!$D$7:$D$9,0)),0)</f>
        <v>0.05</v>
      </c>
      <c r="H16" s="16" t="n">
        <f aca="false">IF(AND(Controls!$D$8="On",H$6=INDEX(Initiatives!$E$7:$E$9,MATCH(Controls!$D$6,Initiatives!$D$7:$D$9,0))),INDEX(Initiatives!$G$7:$G$9,MATCH(Controls!$D$6,Initiatives!$D$7:$D$9,0)),0)+IF(AND(Controls!$D$8="On",H$6&gt;=INDEX(Initiatives!$E$7:$E$9,MATCH(Controls!$D$6,Initiatives!$D$7:$D$9,0))),INDEX(Initiatives!$H$7:$H$9,MATCH(Controls!$D$6,Initiatives!$D$7:$D$9,0)),0)</f>
        <v>0.05</v>
      </c>
    </row>
    <row r="17" customFormat="false" ht="15" hidden="false" customHeight="false" outlineLevel="0" collapsed="false">
      <c r="C17" s="36" t="s">
        <v>166</v>
      </c>
      <c r="D17" s="37" t="n">
        <f aca="false">D15-D16</f>
        <v>0.032</v>
      </c>
      <c r="E17" s="37" t="n">
        <f aca="false">E15-E16</f>
        <v>0.886</v>
      </c>
      <c r="F17" s="37" t="n">
        <f aca="false">F15-F16</f>
        <v>1.174</v>
      </c>
      <c r="G17" s="37" t="n">
        <f aca="false">G15-G16</f>
        <v>1.318</v>
      </c>
      <c r="H17" s="37" t="n">
        <f aca="false">H15-H16</f>
        <v>1.39</v>
      </c>
    </row>
    <row r="18" customFormat="false" ht="21" hidden="false" customHeight="true" outlineLevel="0" collapsed="false">
      <c r="C18" s="14" t="s">
        <v>69</v>
      </c>
      <c r="D18" s="15"/>
      <c r="E18" s="15"/>
      <c r="F18" s="15"/>
      <c r="G18" s="15"/>
      <c r="H18" s="15"/>
    </row>
    <row r="19" customFormat="false" ht="21" hidden="false" customHeight="true" outlineLevel="0" collapsed="false">
      <c r="C19" s="14" t="s">
        <v>167</v>
      </c>
      <c r="D19" s="15"/>
      <c r="E19" s="15"/>
      <c r="F19" s="15"/>
      <c r="G19" s="15"/>
      <c r="H19" s="15"/>
    </row>
    <row r="20" customFormat="false" ht="15" hidden="false" customHeight="false" outlineLevel="0" collapsed="false">
      <c r="C20" s="10" t="s">
        <v>168</v>
      </c>
      <c r="D20" s="35" t="n">
        <f aca="false">IF(D$6&gt;=INDEX(Initiatives!$E$14:$E$16,MATCH(Controls!$D$6,Initiatives!$D$14:$D$16,0)),INDEX(Initiatives!$K$14:$O$16,MATCH(Controls!$D$6,Initiatives!$D$14:$D$16,0),D$6),0)</f>
        <v>0.25</v>
      </c>
      <c r="E20" s="35" t="n">
        <f aca="false">IF(E$6&gt;=INDEX(Initiatives!$E$14:$E$16,MATCH(Controls!$D$6,Initiatives!$D$14:$D$16,0)),INDEX(Initiatives!$K$14:$O$16,MATCH(Controls!$D$6,Initiatives!$D$14:$D$16,0),E$6),0)</f>
        <v>0.6</v>
      </c>
      <c r="F20" s="35" t="n">
        <f aca="false">IF(F$6&gt;=INDEX(Initiatives!$E$14:$E$16,MATCH(Controls!$D$6,Initiatives!$D$14:$D$16,0)),INDEX(Initiatives!$K$14:$O$16,MATCH(Controls!$D$6,Initiatives!$D$14:$D$16,0),F$6),0)</f>
        <v>0.85</v>
      </c>
      <c r="G20" s="35" t="n">
        <f aca="false">IF(G$6&gt;=INDEX(Initiatives!$E$14:$E$16,MATCH(Controls!$D$6,Initiatives!$D$14:$D$16,0)),INDEX(Initiatives!$K$14:$O$16,MATCH(Controls!$D$6,Initiatives!$D$14:$D$16,0),G$6),0)</f>
        <v>1</v>
      </c>
      <c r="H20" s="35" t="n">
        <f aca="false">IF(H$6&gt;=INDEX(Initiatives!$E$14:$E$16,MATCH(Controls!$D$6,Initiatives!$D$14:$D$16,0)),INDEX(Initiatives!$K$14:$O$16,MATCH(Controls!$D$6,Initiatives!$D$14:$D$16,0),H$6),0)</f>
        <v>1</v>
      </c>
    </row>
    <row r="21" customFormat="false" ht="15" hidden="false" customHeight="false" outlineLevel="0" collapsed="false">
      <c r="C21" s="10" t="s">
        <v>169</v>
      </c>
      <c r="D21" s="16" t="n">
        <f aca="false">IF(Controls!$D$9="On",Initiatives!$D$29*D20*INDEX(Initiatives!$F$14:$F$16,MATCH(Controls!$D$6,Initiatives!$D$14:$D$16,0)),0)</f>
        <v>0.3375</v>
      </c>
      <c r="E21" s="16" t="n">
        <f aca="false">IF(Controls!$D$9="On",Initiatives!$D$29*E20*INDEX(Initiatives!$F$14:$F$16,MATCH(Controls!$D$6,Initiatives!$D$14:$D$16,0)),0)</f>
        <v>0.81</v>
      </c>
      <c r="F21" s="16" t="n">
        <f aca="false">IF(Controls!$D$9="On",Initiatives!$D$29*F20*INDEX(Initiatives!$F$14:$F$16,MATCH(Controls!$D$6,Initiatives!$D$14:$D$16,0)),0)</f>
        <v>1.1475</v>
      </c>
      <c r="G21" s="16" t="n">
        <f aca="false">IF(Controls!$D$9="On",Initiatives!$D$29*G20*INDEX(Initiatives!$F$14:$F$16,MATCH(Controls!$D$6,Initiatives!$D$14:$D$16,0)),0)</f>
        <v>1.35</v>
      </c>
      <c r="H21" s="16" t="n">
        <f aca="false">IF(Controls!$D$9="On",Initiatives!$D$29*H20*INDEX(Initiatives!$F$14:$F$16,MATCH(Controls!$D$6,Initiatives!$D$14:$D$16,0)),0)</f>
        <v>1.35</v>
      </c>
    </row>
    <row r="22" customFormat="false" ht="15" hidden="false" customHeight="false" outlineLevel="0" collapsed="false">
      <c r="C22" s="10" t="s">
        <v>170</v>
      </c>
      <c r="D22" s="16" t="n">
        <f aca="false">IF(AND(Controls!$D$9="On",D$6=INDEX(Initiatives!$E$14:$E$16,MATCH(Controls!$D$6,Initiatives!$D$14:$D$16,0))),INDEX(Initiatives!$G$14:$G$16,MATCH(Controls!$D$6,Initiatives!$D$14:$D$16,0)),0)+IF(AND(Controls!$D$9="On",D$6&gt;=INDEX(Initiatives!$E$14:$E$16,MATCH(Controls!$D$6,Initiatives!$D$14:$D$16,0))),INDEX(Initiatives!$H$14:$H$16,MATCH(Controls!$D$6,Initiatives!$D$14:$D$16,0)),0)</f>
        <v>0.4</v>
      </c>
      <c r="E22" s="16" t="n">
        <f aca="false">IF(AND(Controls!$D$9="On",E$6=INDEX(Initiatives!$E$14:$E$16,MATCH(Controls!$D$6,Initiatives!$D$14:$D$16,0))),INDEX(Initiatives!$G$14:$G$16,MATCH(Controls!$D$6,Initiatives!$D$14:$D$16,0)),0)+IF(AND(Controls!$D$9="On",E$6&gt;=INDEX(Initiatives!$E$14:$E$16,MATCH(Controls!$D$6,Initiatives!$D$14:$D$16,0))),INDEX(Initiatives!$H$14:$H$16,MATCH(Controls!$D$6,Initiatives!$D$14:$D$16,0)),0)</f>
        <v>0</v>
      </c>
      <c r="F22" s="16" t="n">
        <f aca="false">IF(AND(Controls!$D$9="On",F$6=INDEX(Initiatives!$E$14:$E$16,MATCH(Controls!$D$6,Initiatives!$D$14:$D$16,0))),INDEX(Initiatives!$G$14:$G$16,MATCH(Controls!$D$6,Initiatives!$D$14:$D$16,0)),0)+IF(AND(Controls!$D$9="On",F$6&gt;=INDEX(Initiatives!$E$14:$E$16,MATCH(Controls!$D$6,Initiatives!$D$14:$D$16,0))),INDEX(Initiatives!$H$14:$H$16,MATCH(Controls!$D$6,Initiatives!$D$14:$D$16,0)),0)</f>
        <v>0</v>
      </c>
      <c r="G22" s="16" t="n">
        <f aca="false">IF(AND(Controls!$D$9="On",G$6=INDEX(Initiatives!$E$14:$E$16,MATCH(Controls!$D$6,Initiatives!$D$14:$D$16,0))),INDEX(Initiatives!$G$14:$G$16,MATCH(Controls!$D$6,Initiatives!$D$14:$D$16,0)),0)+IF(AND(Controls!$D$9="On",G$6&gt;=INDEX(Initiatives!$E$14:$E$16,MATCH(Controls!$D$6,Initiatives!$D$14:$D$16,0))),INDEX(Initiatives!$H$14:$H$16,MATCH(Controls!$D$6,Initiatives!$D$14:$D$16,0)),0)</f>
        <v>0</v>
      </c>
      <c r="H22" s="16" t="n">
        <f aca="false">IF(AND(Controls!$D$9="On",H$6=INDEX(Initiatives!$E$14:$E$16,MATCH(Controls!$D$6,Initiatives!$D$14:$D$16,0))),INDEX(Initiatives!$G$14:$G$16,MATCH(Controls!$D$6,Initiatives!$D$14:$D$16,0)),0)+IF(AND(Controls!$D$9="On",H$6&gt;=INDEX(Initiatives!$E$14:$E$16,MATCH(Controls!$D$6,Initiatives!$D$14:$D$16,0))),INDEX(Initiatives!$H$14:$H$16,MATCH(Controls!$D$6,Initiatives!$D$14:$D$16,0)),0)</f>
        <v>0</v>
      </c>
    </row>
    <row r="23" customFormat="false" ht="15" hidden="false" customHeight="false" outlineLevel="0" collapsed="false">
      <c r="C23" s="36" t="s">
        <v>171</v>
      </c>
      <c r="D23" s="37" t="n">
        <f aca="false">D21-D22</f>
        <v>-0.0625</v>
      </c>
      <c r="E23" s="37" t="n">
        <f aca="false">E21-E22</f>
        <v>0.81</v>
      </c>
      <c r="F23" s="37" t="n">
        <f aca="false">F21-F22</f>
        <v>1.1475</v>
      </c>
      <c r="G23" s="37" t="n">
        <f aca="false">G21-G22</f>
        <v>1.35</v>
      </c>
      <c r="H23" s="37" t="n">
        <f aca="false">H21-H22</f>
        <v>1.35</v>
      </c>
    </row>
    <row r="24" customFormat="false" ht="21" hidden="false" customHeight="true" outlineLevel="0" collapsed="false">
      <c r="C24" s="14" t="s">
        <v>70</v>
      </c>
      <c r="D24" s="15"/>
      <c r="E24" s="15"/>
      <c r="F24" s="15"/>
      <c r="G24" s="15"/>
      <c r="H24" s="15"/>
    </row>
    <row r="25" customFormat="false" ht="21" hidden="false" customHeight="true" outlineLevel="0" collapsed="false">
      <c r="C25" s="14" t="s">
        <v>172</v>
      </c>
      <c r="D25" s="15"/>
      <c r="E25" s="15"/>
      <c r="F25" s="15"/>
      <c r="G25" s="15"/>
      <c r="H25" s="15"/>
    </row>
    <row r="26" customFormat="false" ht="15" hidden="false" customHeight="false" outlineLevel="0" collapsed="false">
      <c r="C26" s="10" t="s">
        <v>173</v>
      </c>
      <c r="D26" s="35" t="n">
        <f aca="false">IF(D$6&gt;=INDEX(Initiatives!$E$21:$E$23,MATCH(Controls!$D$6,Initiatives!$D$21:$D$23,0)),INDEX(Initiatives!$K$21:$O$23,MATCH(Controls!$D$6,Initiatives!$D$21:$D$23,0),D$6),0)</f>
        <v>0.25</v>
      </c>
      <c r="E26" s="35" t="n">
        <f aca="false">IF(E$6&gt;=INDEX(Initiatives!$E$21:$E$23,MATCH(Controls!$D$6,Initiatives!$D$21:$D$23,0)),INDEX(Initiatives!$K$21:$O$23,MATCH(Controls!$D$6,Initiatives!$D$21:$D$23,0),E$6),0)</f>
        <v>0.55</v>
      </c>
      <c r="F26" s="35" t="n">
        <f aca="false">IF(F$6&gt;=INDEX(Initiatives!$E$21:$E$23,MATCH(Controls!$D$6,Initiatives!$D$21:$D$23,0)),INDEX(Initiatives!$K$21:$O$23,MATCH(Controls!$D$6,Initiatives!$D$21:$D$23,0),F$6),0)</f>
        <v>0.75</v>
      </c>
      <c r="G26" s="35" t="n">
        <f aca="false">IF(G$6&gt;=INDEX(Initiatives!$E$21:$E$23,MATCH(Controls!$D$6,Initiatives!$D$21:$D$23,0)),INDEX(Initiatives!$K$21:$O$23,MATCH(Controls!$D$6,Initiatives!$D$21:$D$23,0),G$6),0)</f>
        <v>0.85</v>
      </c>
      <c r="H26" s="35" t="n">
        <f aca="false">IF(H$6&gt;=INDEX(Initiatives!$E$21:$E$23,MATCH(Controls!$D$6,Initiatives!$D$21:$D$23,0)),INDEX(Initiatives!$K$21:$O$23,MATCH(Controls!$D$6,Initiatives!$D$21:$D$23,0),H$6),0)</f>
        <v>0.9</v>
      </c>
    </row>
    <row r="27" customFormat="false" ht="15" hidden="false" customHeight="false" outlineLevel="0" collapsed="false">
      <c r="C27" s="10" t="s">
        <v>174</v>
      </c>
      <c r="D27" s="22" t="n">
        <f aca="false">IF(Controls!$D$10="On",Initiatives!$F$30*D26,0)</f>
        <v>4500</v>
      </c>
      <c r="E27" s="22" t="n">
        <f aca="false">IF(Controls!$D$10="On",Initiatives!$F$30*E26,0)</f>
        <v>9900</v>
      </c>
      <c r="F27" s="22" t="n">
        <f aca="false">IF(Controls!$D$10="On",Initiatives!$F$30*F26,0)</f>
        <v>13500</v>
      </c>
      <c r="G27" s="22" t="n">
        <f aca="false">IF(Controls!$D$10="On",Initiatives!$F$30*G26,0)</f>
        <v>15300</v>
      </c>
      <c r="H27" s="22" t="n">
        <f aca="false">IF(Controls!$D$10="On",Initiatives!$F$30*H26,0)</f>
        <v>16200</v>
      </c>
    </row>
    <row r="28" customFormat="false" ht="15" hidden="false" customHeight="false" outlineLevel="0" collapsed="false">
      <c r="C28" s="10" t="s">
        <v>175</v>
      </c>
      <c r="D28" s="16" t="n">
        <f aca="false">D27*Initiatives!$G$30*Initiatives!$H$30/Controls!$D$32</f>
        <v>0.1638</v>
      </c>
      <c r="E28" s="16" t="n">
        <f aca="false">E27*Initiatives!$G$30*Initiatives!$H$30/Controls!$D$32</f>
        <v>0.36036</v>
      </c>
      <c r="F28" s="16" t="n">
        <f aca="false">F27*Initiatives!$G$30*Initiatives!$H$30/Controls!$D$32</f>
        <v>0.4914</v>
      </c>
      <c r="G28" s="16" t="n">
        <f aca="false">G27*Initiatives!$G$30*Initiatives!$H$30/Controls!$D$32</f>
        <v>0.55692</v>
      </c>
      <c r="H28" s="16" t="n">
        <f aca="false">H27*Initiatives!$G$30*Initiatives!$H$30/Controls!$D$32</f>
        <v>0.58968</v>
      </c>
    </row>
    <row r="29" customFormat="false" ht="15" hidden="false" customHeight="false" outlineLevel="0" collapsed="false">
      <c r="C29" s="10" t="s">
        <v>176</v>
      </c>
      <c r="D29" s="16" t="n">
        <f aca="false">IF(Controls!$D$10="On",D28*INDEX(Initiatives!$F$21:$F$23,MATCH(Controls!$D$6,Initiatives!$D$21:$D$23,0)),0)</f>
        <v>0.10647</v>
      </c>
      <c r="E29" s="16" t="n">
        <f aca="false">IF(Controls!$D$10="On",E28*INDEX(Initiatives!$F$21:$F$23,MATCH(Controls!$D$6,Initiatives!$D$21:$D$23,0)),0)</f>
        <v>0.234234</v>
      </c>
      <c r="F29" s="16" t="n">
        <f aca="false">IF(Controls!$D$10="On",F28*INDEX(Initiatives!$F$21:$F$23,MATCH(Controls!$D$6,Initiatives!$D$21:$D$23,0)),0)</f>
        <v>0.31941</v>
      </c>
      <c r="G29" s="16" t="n">
        <f aca="false">IF(Controls!$D$10="On",G28*INDEX(Initiatives!$F$21:$F$23,MATCH(Controls!$D$6,Initiatives!$D$21:$D$23,0)),0)</f>
        <v>0.361998</v>
      </c>
      <c r="H29" s="16" t="n">
        <f aca="false">IF(Controls!$D$10="On",H28*INDEX(Initiatives!$F$21:$F$23,MATCH(Controls!$D$6,Initiatives!$D$21:$D$23,0)),0)</f>
        <v>0.383292</v>
      </c>
    </row>
    <row r="30" customFormat="false" ht="15" hidden="false" customHeight="false" outlineLevel="0" collapsed="false">
      <c r="C30" s="10" t="s">
        <v>177</v>
      </c>
      <c r="D30" s="16" t="n">
        <f aca="false">IF(AND(Controls!$D$10="On",D$6=INDEX(Initiatives!$E$21:$E$23,MATCH(Controls!$D$6,Initiatives!$D$21:$D$23,0))),INDEX(Initiatives!$G$21:$G$23,MATCH(Controls!$D$6,Initiatives!$D$21:$D$23,0)),0)</f>
        <v>0.85</v>
      </c>
      <c r="E30" s="16" t="n">
        <f aca="false">IF(AND(Controls!$D$10="On",E$6=INDEX(Initiatives!$E$21:$E$23,MATCH(Controls!$D$6,Initiatives!$D$21:$D$23,0))),INDEX(Initiatives!$G$21:$G$23,MATCH(Controls!$D$6,Initiatives!$D$21:$D$23,0)),0)</f>
        <v>0</v>
      </c>
      <c r="F30" s="16" t="n">
        <f aca="false">IF(AND(Controls!$D$10="On",F$6=INDEX(Initiatives!$E$21:$E$23,MATCH(Controls!$D$6,Initiatives!$D$21:$D$23,0))),INDEX(Initiatives!$G$21:$G$23,MATCH(Controls!$D$6,Initiatives!$D$21:$D$23,0)),0)</f>
        <v>0</v>
      </c>
      <c r="G30" s="16" t="n">
        <f aca="false">IF(AND(Controls!$D$10="On",G$6=INDEX(Initiatives!$E$21:$E$23,MATCH(Controls!$D$6,Initiatives!$D$21:$D$23,0))),INDEX(Initiatives!$G$21:$G$23,MATCH(Controls!$D$6,Initiatives!$D$21:$D$23,0)),0)</f>
        <v>0</v>
      </c>
      <c r="H30" s="16" t="n">
        <f aca="false">IF(AND(Controls!$D$10="On",H$6=INDEX(Initiatives!$E$21:$E$23,MATCH(Controls!$D$6,Initiatives!$D$21:$D$23,0))),INDEX(Initiatives!$G$21:$G$23,MATCH(Controls!$D$6,Initiatives!$D$21:$D$23,0)),0)</f>
        <v>0</v>
      </c>
    </row>
    <row r="31" customFormat="false" ht="15" hidden="false" customHeight="false" outlineLevel="0" collapsed="false">
      <c r="C31" s="10" t="s">
        <v>178</v>
      </c>
      <c r="D31" s="16" t="n">
        <f aca="false">IF(AND(Controls!$D$10="On",D$6&gt;=INDEX(Initiatives!$E$21:$E$23,MATCH(Controls!$D$6,Initiatives!$D$21:$D$23,0))),INDEX(Initiatives!$H$21:$H$23,MATCH(Controls!$D$6,Initiatives!$D$21:$D$23,0)),0)</f>
        <v>0.2</v>
      </c>
      <c r="E31" s="16" t="n">
        <f aca="false">IF(AND(Controls!$D$10="On",E$6&gt;=INDEX(Initiatives!$E$21:$E$23,MATCH(Controls!$D$6,Initiatives!$D$21:$D$23,0))),INDEX(Initiatives!$H$21:$H$23,MATCH(Controls!$D$6,Initiatives!$D$21:$D$23,0)),0)</f>
        <v>0.2</v>
      </c>
      <c r="F31" s="16" t="n">
        <f aca="false">IF(AND(Controls!$D$10="On",F$6&gt;=INDEX(Initiatives!$E$21:$E$23,MATCH(Controls!$D$6,Initiatives!$D$21:$D$23,0))),INDEX(Initiatives!$H$21:$H$23,MATCH(Controls!$D$6,Initiatives!$D$21:$D$23,0)),0)</f>
        <v>0.2</v>
      </c>
      <c r="G31" s="16" t="n">
        <f aca="false">IF(AND(Controls!$D$10="On",G$6&gt;=INDEX(Initiatives!$E$21:$E$23,MATCH(Controls!$D$6,Initiatives!$D$21:$D$23,0))),INDEX(Initiatives!$H$21:$H$23,MATCH(Controls!$D$6,Initiatives!$D$21:$D$23,0)),0)</f>
        <v>0.2</v>
      </c>
      <c r="H31" s="16" t="n">
        <f aca="false">IF(AND(Controls!$D$10="On",H$6&gt;=INDEX(Initiatives!$E$21:$E$23,MATCH(Controls!$D$6,Initiatives!$D$21:$D$23,0))),INDEX(Initiatives!$H$21:$H$23,MATCH(Controls!$D$6,Initiatives!$D$21:$D$23,0)),0)</f>
        <v>0.2</v>
      </c>
    </row>
    <row r="32" customFormat="false" ht="15" hidden="false" customHeight="false" outlineLevel="0" collapsed="false">
      <c r="C32" s="36" t="s">
        <v>179</v>
      </c>
      <c r="D32" s="37" t="n">
        <f aca="false">D29-D30-D31</f>
        <v>-0.94353</v>
      </c>
      <c r="E32" s="37" t="n">
        <f aca="false">E29-E30-E31</f>
        <v>0.034234</v>
      </c>
      <c r="F32" s="37" t="n">
        <f aca="false">F29-F30-F31</f>
        <v>0.11941</v>
      </c>
      <c r="G32" s="37" t="n">
        <f aca="false">G29-G30-G31</f>
        <v>0.161998</v>
      </c>
      <c r="H32" s="37" t="n">
        <f aca="false">H29-H30-H31</f>
        <v>0.183292</v>
      </c>
    </row>
    <row r="33" customFormat="false" ht="21" hidden="false" customHeight="true" outlineLevel="0" collapsed="false">
      <c r="C33" s="14" t="s">
        <v>180</v>
      </c>
      <c r="D33" s="15"/>
      <c r="E33" s="15"/>
      <c r="F33" s="15"/>
      <c r="G33" s="15"/>
      <c r="H33" s="15"/>
    </row>
    <row r="34" customFormat="false" ht="15" hidden="false" customHeight="false" outlineLevel="0" collapsed="false">
      <c r="C34" s="36" t="s">
        <v>181</v>
      </c>
      <c r="D34" s="37" t="n">
        <f aca="false">SUM(D17,D23,D32)</f>
        <v>-0.97403</v>
      </c>
      <c r="E34" s="37" t="n">
        <f aca="false">SUM(E17,E23,E32)</f>
        <v>1.730234</v>
      </c>
      <c r="F34" s="37" t="n">
        <f aca="false">SUM(F17,F23,F32)</f>
        <v>2.44091</v>
      </c>
      <c r="G34" s="37" t="n">
        <f aca="false">SUM(G17,G23,G32)</f>
        <v>2.829998</v>
      </c>
      <c r="H34" s="37" t="n">
        <f aca="false">SUM(H17,H23,H32)</f>
        <v>2.923292</v>
      </c>
    </row>
    <row r="35" customFormat="false" ht="15" hidden="false" customHeight="false" outlineLevel="0" collapsed="false">
      <c r="C35" s="36" t="s">
        <v>182</v>
      </c>
      <c r="D35" s="37" t="n">
        <f aca="false">D11+D34</f>
        <v>14.13097</v>
      </c>
      <c r="E35" s="37" t="n">
        <f aca="false">E11+E34</f>
        <v>18.022434</v>
      </c>
      <c r="F35" s="37" t="n">
        <f aca="false">F11+F34</f>
        <v>19.9255305</v>
      </c>
      <c r="G35" s="37" t="n">
        <f aca="false">G11+G34</f>
        <v>21.5000165</v>
      </c>
      <c r="H35" s="37" t="n">
        <f aca="false">H11+H34</f>
        <v>22.758630821375</v>
      </c>
    </row>
    <row r="36" customFormat="false" ht="15" hidden="false" customHeight="false" outlineLevel="0" collapsed="false">
      <c r="C36" s="5" t="s">
        <v>183</v>
      </c>
      <c r="D36" s="31" t="n">
        <f aca="false">D35/D9</f>
        <v>0.133311037735849</v>
      </c>
      <c r="E36" s="31" t="n">
        <f aca="false">E35/E9</f>
        <v>0.160399021003916</v>
      </c>
      <c r="F36" s="31" t="n">
        <f aca="false">F35/F9</f>
        <v>0.168091480667253</v>
      </c>
      <c r="G36" s="31" t="n">
        <f aca="false">G35/G9</f>
        <v>0.172736972649492</v>
      </c>
      <c r="H36" s="31" t="n">
        <f aca="false">H35/H9</f>
        <v>0.174975140657522</v>
      </c>
    </row>
  </sheetData>
  <mergeCells count="1">
    <mergeCell ref="C3:J3"/>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I2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72"/>
    <col collapsed="false" customWidth="true" hidden="false" outlineLevel="0" max="8" min="4" style="0" width="16"/>
    <col collapsed="false" customWidth="true" hidden="false" outlineLevel="0" max="17" min="9" style="0" width="14"/>
  </cols>
  <sheetData>
    <row r="2" customFormat="false" ht="17.35" hidden="false" customHeight="false" outlineLevel="0" collapsed="false">
      <c r="C2" s="1" t="s">
        <v>184</v>
      </c>
    </row>
    <row r="3" customFormat="false" ht="30.75" hidden="false" customHeight="true" outlineLevel="0" collapsed="false">
      <c r="C3" s="2" t="s">
        <v>185</v>
      </c>
      <c r="D3" s="2"/>
      <c r="E3" s="2"/>
      <c r="F3" s="2"/>
      <c r="G3" s="2"/>
      <c r="H3" s="2"/>
      <c r="I3" s="2"/>
    </row>
    <row r="4" customFormat="false" ht="15" hidden="false" customHeight="false" outlineLevel="0" collapsed="false">
      <c r="C4" s="3"/>
      <c r="D4" s="3"/>
      <c r="E4" s="3"/>
      <c r="F4" s="3"/>
      <c r="G4" s="3"/>
      <c r="H4" s="3"/>
      <c r="I4" s="3"/>
    </row>
    <row r="5" customFormat="false" ht="15" hidden="false" customHeight="false" outlineLevel="0" collapsed="false">
      <c r="C5" s="5" t="s">
        <v>29</v>
      </c>
      <c r="D5" s="13" t="str">
        <f aca="false">Controls!D6</f>
        <v>Base</v>
      </c>
    </row>
    <row r="6" customFormat="false" ht="30" hidden="false" customHeight="true" outlineLevel="0" collapsed="false">
      <c r="C6" s="21"/>
      <c r="D6" s="34" t="n">
        <v>1</v>
      </c>
      <c r="E6" s="34" t="n">
        <v>2</v>
      </c>
      <c r="F6" s="34" t="n">
        <v>3</v>
      </c>
      <c r="G6" s="34" t="n">
        <v>4</v>
      </c>
      <c r="H6" s="34" t="n">
        <v>5</v>
      </c>
    </row>
    <row r="8" customFormat="false" ht="15" hidden="false" customHeight="false" outlineLevel="0" collapsed="false">
      <c r="C8" s="10" t="s">
        <v>182</v>
      </c>
      <c r="D8" s="16" t="n">
        <f aca="false">'Operating Model'!D35</f>
        <v>14.13097</v>
      </c>
      <c r="E8" s="16" t="n">
        <f aca="false">'Operating Model'!E35</f>
        <v>18.022434</v>
      </c>
      <c r="F8" s="16" t="n">
        <f aca="false">'Operating Model'!F35</f>
        <v>19.9255305</v>
      </c>
      <c r="G8" s="16" t="n">
        <f aca="false">'Operating Model'!G35</f>
        <v>21.5000165</v>
      </c>
      <c r="H8" s="16" t="n">
        <f aca="false">'Operating Model'!H35</f>
        <v>22.758630821375</v>
      </c>
    </row>
    <row r="9" customFormat="false" ht="15" hidden="false" customHeight="false" outlineLevel="0" collapsed="false">
      <c r="C9" s="10" t="s">
        <v>186</v>
      </c>
      <c r="D9" s="16" t="n">
        <f aca="false">'Operating Model'!D9*Controls!$D$27</f>
        <v>2.65</v>
      </c>
      <c r="E9" s="16" t="n">
        <f aca="false">'Operating Model'!E9*Controls!$D$27</f>
        <v>2.809</v>
      </c>
      <c r="F9" s="16" t="n">
        <f aca="false">'Operating Model'!F9*Controls!$D$27</f>
        <v>2.963495</v>
      </c>
      <c r="G9" s="16" t="n">
        <f aca="false">'Operating Model'!G9*Controls!$D$27</f>
        <v>3.11166975</v>
      </c>
      <c r="H9" s="16" t="n">
        <f aca="false">'Operating Model'!H9*Controls!$D$27</f>
        <v>3.25169488875</v>
      </c>
    </row>
    <row r="10" customFormat="false" ht="15" hidden="false" customHeight="false" outlineLevel="0" collapsed="false">
      <c r="C10" s="10" t="s">
        <v>187</v>
      </c>
      <c r="D10" s="38" t="n">
        <f aca="false">D8-D9</f>
        <v>11.48097</v>
      </c>
      <c r="E10" s="38" t="n">
        <f aca="false">E8-E9</f>
        <v>15.213434</v>
      </c>
      <c r="F10" s="38" t="n">
        <f aca="false">F8-F9</f>
        <v>16.9620355</v>
      </c>
      <c r="G10" s="38" t="n">
        <f aca="false">G8-G9</f>
        <v>18.38834675</v>
      </c>
      <c r="H10" s="38" t="n">
        <f aca="false">H8-H9</f>
        <v>19.506935932625</v>
      </c>
    </row>
    <row r="11" customFormat="false" ht="15" hidden="false" customHeight="false" outlineLevel="0" collapsed="false">
      <c r="C11" s="10" t="s">
        <v>188</v>
      </c>
      <c r="D11" s="16" t="n">
        <f aca="false">Returns!$D$15</f>
        <v>56</v>
      </c>
      <c r="E11" s="38" t="n">
        <f aca="false">D22</f>
        <v>52.434454375</v>
      </c>
      <c r="F11" s="38" t="n">
        <f aca="false">E22</f>
        <v>46.4429555964844</v>
      </c>
      <c r="G11" s="38" t="n">
        <f aca="false">F22</f>
        <v>38.5704228101775</v>
      </c>
      <c r="H11" s="38" t="n">
        <f aca="false">G22</f>
        <v>29.033842083991</v>
      </c>
    </row>
    <row r="12" customFormat="false" ht="15" hidden="false" customHeight="false" outlineLevel="0" collapsed="false">
      <c r="C12" s="10" t="s">
        <v>189</v>
      </c>
      <c r="D12" s="16" t="n">
        <f aca="false">D11*Controls!$D$26</f>
        <v>5.04</v>
      </c>
      <c r="E12" s="16" t="n">
        <f aca="false">E11*Controls!$D$26</f>
        <v>4.71910089375</v>
      </c>
      <c r="F12" s="16" t="n">
        <f aca="false">F11*Controls!$D$26</f>
        <v>4.17986600368359</v>
      </c>
      <c r="G12" s="16" t="n">
        <f aca="false">G11*Controls!$D$26</f>
        <v>3.47133805291597</v>
      </c>
      <c r="H12" s="16" t="n">
        <f aca="false">H11*Controls!$D$26</f>
        <v>2.61304578755919</v>
      </c>
    </row>
    <row r="13" customFormat="false" ht="15" hidden="false" customHeight="false" outlineLevel="0" collapsed="false">
      <c r="C13" s="10" t="s">
        <v>190</v>
      </c>
      <c r="D13" s="38" t="n">
        <f aca="false">MAX(0,D10-D12)</f>
        <v>6.44097</v>
      </c>
      <c r="E13" s="38" t="n">
        <f aca="false">MAX(0,E10-E12)</f>
        <v>10.49433310625</v>
      </c>
      <c r="F13" s="38" t="n">
        <f aca="false">MAX(0,F10-F12)</f>
        <v>12.7821694963164</v>
      </c>
      <c r="G13" s="38" t="n">
        <f aca="false">MAX(0,G10-G12)</f>
        <v>14.917008697084</v>
      </c>
      <c r="H13" s="38" t="n">
        <f aca="false">MAX(0,H10-H12)</f>
        <v>16.8938901450658</v>
      </c>
    </row>
    <row r="14" customFormat="false" ht="15" hidden="false" customHeight="false" outlineLevel="0" collapsed="false">
      <c r="C14" s="10" t="s">
        <v>191</v>
      </c>
      <c r="D14" s="16" t="n">
        <f aca="false">D13*Controls!$D$25</f>
        <v>1.6102425</v>
      </c>
      <c r="E14" s="16" t="n">
        <f aca="false">E13*Controls!$D$25</f>
        <v>2.6235832765625</v>
      </c>
      <c r="F14" s="16" t="n">
        <f aca="false">F13*Controls!$D$25</f>
        <v>3.1955423740791</v>
      </c>
      <c r="G14" s="16" t="n">
        <f aca="false">G13*Controls!$D$25</f>
        <v>3.72925217427101</v>
      </c>
      <c r="H14" s="16" t="n">
        <f aca="false">H13*Controls!$D$25</f>
        <v>4.22347253626645</v>
      </c>
    </row>
    <row r="15" customFormat="false" ht="15" hidden="false" customHeight="false" outlineLevel="0" collapsed="false">
      <c r="C15" s="10" t="s">
        <v>192</v>
      </c>
      <c r="D15" s="16" t="n">
        <f aca="false">'Operating Model'!D9*Controls!$D$28</f>
        <v>3.18</v>
      </c>
      <c r="E15" s="16" t="n">
        <f aca="false">'Operating Model'!E9*Controls!$D$28</f>
        <v>3.3708</v>
      </c>
      <c r="F15" s="16" t="n">
        <f aca="false">'Operating Model'!F9*Controls!$D$28</f>
        <v>3.556194</v>
      </c>
      <c r="G15" s="16" t="n">
        <f aca="false">'Operating Model'!G9*Controls!$D$28</f>
        <v>3.7340037</v>
      </c>
      <c r="H15" s="16" t="n">
        <f aca="false">'Operating Model'!H9*Controls!$D$28</f>
        <v>3.9020338665</v>
      </c>
    </row>
    <row r="16" customFormat="false" ht="15" hidden="false" customHeight="false" outlineLevel="0" collapsed="false">
      <c r="C16" s="10" t="s">
        <v>193</v>
      </c>
      <c r="D16" s="16" t="n">
        <f aca="false">MAX(0,('Operating Model'!D9-'Historical &amp; Baseline'!$F$7)*Controls!$D$29)</f>
        <v>0.48</v>
      </c>
      <c r="E16" s="16" t="n">
        <f aca="false">MAX(0,('Operating Model'!E9-'Operating Model'!D9)*Controls!$D$29)</f>
        <v>0.5088</v>
      </c>
      <c r="F16" s="16" t="n">
        <f aca="false">MAX(0,('Operating Model'!F9-'Operating Model'!E9)*Controls!$D$29)</f>
        <v>0.494383999999999</v>
      </c>
      <c r="G16" s="16" t="n">
        <f aca="false">MAX(0,('Operating Model'!G9-'Operating Model'!F9)*Controls!$D$29)</f>
        <v>0.4741592</v>
      </c>
      <c r="H16" s="16" t="n">
        <f aca="false">MAX(0,('Operating Model'!H9-'Operating Model'!G9)*Controls!$D$29)</f>
        <v>0.448080443999999</v>
      </c>
    </row>
    <row r="17" customFormat="false" ht="15" hidden="false" customHeight="false" outlineLevel="0" collapsed="false">
      <c r="C17" s="5" t="s">
        <v>194</v>
      </c>
      <c r="D17" s="20" t="n">
        <f aca="false">D8-D14-D12-D15-D16</f>
        <v>3.8207275</v>
      </c>
      <c r="E17" s="20" t="n">
        <f aca="false">E8-E14-E12-E15-E16</f>
        <v>6.8001498296875</v>
      </c>
      <c r="F17" s="20" t="n">
        <f aca="false">F8-F14-F12-F15-F16</f>
        <v>8.49954412223731</v>
      </c>
      <c r="G17" s="20" t="n">
        <f aca="false">G8-G14-G12-G15-G16</f>
        <v>10.091263372813</v>
      </c>
      <c r="H17" s="20" t="n">
        <f aca="false">H8-H14-H12-H15-H16</f>
        <v>11.5719981870494</v>
      </c>
    </row>
    <row r="18" customFormat="false" ht="15" hidden="false" customHeight="false" outlineLevel="0" collapsed="false">
      <c r="C18" s="10" t="s">
        <v>195</v>
      </c>
      <c r="D18" s="16" t="n">
        <f aca="false">Controls!$D$33</f>
        <v>0</v>
      </c>
      <c r="E18" s="38" t="n">
        <f aca="false">D23</f>
        <v>0.255181875</v>
      </c>
      <c r="F18" s="38" t="n">
        <f aca="false">E23</f>
        <v>1.06383292617188</v>
      </c>
      <c r="G18" s="38" t="n">
        <f aca="false">F23</f>
        <v>1.6908442621023</v>
      </c>
      <c r="H18" s="38" t="n">
        <f aca="false">G23</f>
        <v>2.24552690872883</v>
      </c>
    </row>
    <row r="19" customFormat="false" ht="15" hidden="false" customHeight="false" outlineLevel="0" collapsed="false">
      <c r="C19" s="10" t="s">
        <v>196</v>
      </c>
      <c r="D19" s="16" t="n">
        <f aca="false">MIN(D11,Returns!$D$15*Controls!$D$30)</f>
        <v>2.8</v>
      </c>
      <c r="E19" s="16" t="n">
        <f aca="false">MIN(E11,Returns!$D$15*Controls!$D$30)</f>
        <v>2.8</v>
      </c>
      <c r="F19" s="16" t="n">
        <f aca="false">MIN(F11,Returns!$D$15*Controls!$D$30)</f>
        <v>2.8</v>
      </c>
      <c r="G19" s="16" t="n">
        <f aca="false">MIN(G11,Returns!$D$15*Controls!$D$30)</f>
        <v>2.8</v>
      </c>
      <c r="H19" s="16" t="n">
        <f aca="false">MIN(H11,Returns!$D$15*Controls!$D$30)</f>
        <v>2.8</v>
      </c>
    </row>
    <row r="20" customFormat="false" ht="15" hidden="false" customHeight="false" outlineLevel="0" collapsed="false">
      <c r="C20" s="10" t="s">
        <v>197</v>
      </c>
      <c r="D20" s="38" t="n">
        <f aca="false">D18+D17-D19</f>
        <v>1.0207275</v>
      </c>
      <c r="E20" s="38" t="n">
        <f aca="false">E18+E17-E19</f>
        <v>4.2553317046875</v>
      </c>
      <c r="F20" s="38" t="n">
        <f aca="false">F18+F17-F19</f>
        <v>6.76337704840918</v>
      </c>
      <c r="G20" s="38" t="n">
        <f aca="false">G18+G17-G19</f>
        <v>8.98210763491531</v>
      </c>
      <c r="H20" s="38" t="n">
        <f aca="false">H18+H17-H19</f>
        <v>11.0175250957782</v>
      </c>
    </row>
    <row r="21" customFormat="false" ht="15" hidden="false" customHeight="false" outlineLevel="0" collapsed="false">
      <c r="C21" s="10" t="s">
        <v>198</v>
      </c>
      <c r="D21" s="16" t="n">
        <f aca="false">MIN(D11-D19,MAX(0,D20)*Controls!$D$31)</f>
        <v>0.765545625000001</v>
      </c>
      <c r="E21" s="16" t="n">
        <f aca="false">MIN(E11-E19,MAX(0,E20)*Controls!$D$31)</f>
        <v>3.19149877851563</v>
      </c>
      <c r="F21" s="16" t="n">
        <f aca="false">MIN(F11-F19,MAX(0,F20)*Controls!$D$31)</f>
        <v>5.07253278630689</v>
      </c>
      <c r="G21" s="16" t="n">
        <f aca="false">MIN(G11-G19,MAX(0,G20)*Controls!$D$31)</f>
        <v>6.73658072618649</v>
      </c>
      <c r="H21" s="16" t="n">
        <f aca="false">MIN(H11-H19,MAX(0,H20)*Controls!$D$31)</f>
        <v>8.26314382183364</v>
      </c>
    </row>
    <row r="22" customFormat="false" ht="15" hidden="false" customHeight="false" outlineLevel="0" collapsed="false">
      <c r="C22" s="5" t="s">
        <v>199</v>
      </c>
      <c r="D22" s="20" t="n">
        <f aca="false">D11-D19-D21</f>
        <v>52.434454375</v>
      </c>
      <c r="E22" s="20" t="n">
        <f aca="false">E11-E19-E21</f>
        <v>46.4429555964844</v>
      </c>
      <c r="F22" s="20" t="n">
        <f aca="false">F11-F19-F21</f>
        <v>38.5704228101775</v>
      </c>
      <c r="G22" s="20" t="n">
        <f aca="false">G11-G19-G21</f>
        <v>29.033842083991</v>
      </c>
      <c r="H22" s="20" t="n">
        <f aca="false">H11-H19-H21</f>
        <v>17.9706982621574</v>
      </c>
    </row>
    <row r="23" customFormat="false" ht="15" hidden="false" customHeight="false" outlineLevel="0" collapsed="false">
      <c r="C23" s="5" t="s">
        <v>200</v>
      </c>
      <c r="D23" s="20" t="n">
        <f aca="false">D20-D21</f>
        <v>0.255181875</v>
      </c>
      <c r="E23" s="20" t="n">
        <f aca="false">E20-E21</f>
        <v>1.06383292617188</v>
      </c>
      <c r="F23" s="20" t="n">
        <f aca="false">F20-F21</f>
        <v>1.6908442621023</v>
      </c>
      <c r="G23" s="20" t="n">
        <f aca="false">G20-G21</f>
        <v>2.24552690872883</v>
      </c>
      <c r="H23" s="20" t="n">
        <f aca="false">H20-H21</f>
        <v>2.75438127394455</v>
      </c>
    </row>
    <row r="24" customFormat="false" ht="15" hidden="false" customHeight="false" outlineLevel="0" collapsed="false">
      <c r="C24" s="5" t="s">
        <v>201</v>
      </c>
      <c r="D24" s="20" t="n">
        <f aca="false">D22-D23</f>
        <v>52.1792725</v>
      </c>
      <c r="E24" s="20" t="n">
        <f aca="false">E22-E23</f>
        <v>45.3791226703125</v>
      </c>
      <c r="F24" s="20" t="n">
        <f aca="false">F22-F23</f>
        <v>36.8795785480752</v>
      </c>
      <c r="G24" s="20" t="n">
        <f aca="false">G22-G23</f>
        <v>26.7883151752622</v>
      </c>
      <c r="H24" s="20" t="n">
        <f aca="false">H22-H23</f>
        <v>15.2163169882128</v>
      </c>
    </row>
    <row r="27" customFormat="false" ht="21" hidden="false" customHeight="true" outlineLevel="0" collapsed="false">
      <c r="C27" s="14" t="s">
        <v>202</v>
      </c>
      <c r="D27" s="15"/>
      <c r="E27" s="15"/>
      <c r="F27" s="15"/>
      <c r="G27" s="15"/>
      <c r="H27" s="15"/>
    </row>
    <row r="28" customFormat="false" ht="15" hidden="false" customHeight="true" outlineLevel="0" collapsed="false">
      <c r="C28" s="7" t="s">
        <v>203</v>
      </c>
      <c r="D28" s="7"/>
      <c r="E28" s="7"/>
      <c r="F28" s="7"/>
      <c r="G28" s="7"/>
      <c r="H28" s="7"/>
    </row>
    <row r="29" customFormat="false" ht="15" hidden="false" customHeight="false" outlineLevel="0" collapsed="false">
      <c r="C29" s="7"/>
      <c r="D29" s="7"/>
      <c r="E29" s="7"/>
      <c r="F29" s="7"/>
      <c r="G29" s="7"/>
      <c r="H29" s="7"/>
    </row>
  </sheetData>
  <mergeCells count="2">
    <mergeCell ref="C3:I3"/>
    <mergeCell ref="C28:H29"/>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65D"/>
    <pageSetUpPr fitToPage="true"/>
  </sheetPr>
  <dimension ref="C2:I3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48"/>
    <col collapsed="false" customWidth="true" hidden="false" outlineLevel="0" max="9" min="4" style="0" width="17"/>
    <col collapsed="false" customWidth="true" hidden="false" outlineLevel="0" max="17" min="10" style="0" width="14"/>
  </cols>
  <sheetData>
    <row r="2" customFormat="false" ht="17.35" hidden="false" customHeight="false" outlineLevel="0" collapsed="false">
      <c r="C2" s="1" t="s">
        <v>204</v>
      </c>
    </row>
    <row r="3" customFormat="false" ht="30.75" hidden="false" customHeight="true" outlineLevel="0" collapsed="false">
      <c r="C3" s="2" t="s">
        <v>205</v>
      </c>
      <c r="D3" s="2"/>
      <c r="E3" s="2"/>
      <c r="F3" s="2"/>
      <c r="G3" s="2"/>
      <c r="H3" s="2"/>
      <c r="I3" s="2"/>
    </row>
    <row r="4" customFormat="false" ht="15" hidden="false" customHeight="false" outlineLevel="0" collapsed="false">
      <c r="C4" s="3"/>
      <c r="D4" s="3"/>
      <c r="E4" s="3"/>
      <c r="F4" s="3"/>
      <c r="G4" s="3"/>
      <c r="H4" s="3"/>
      <c r="I4" s="3"/>
    </row>
    <row r="5" customFormat="false" ht="15" hidden="false" customHeight="false" outlineLevel="0" collapsed="false">
      <c r="C5" s="5" t="s">
        <v>29</v>
      </c>
      <c r="D5" s="13" t="str">
        <f aca="false">Controls!D6</f>
        <v>Base</v>
      </c>
    </row>
    <row r="7" customFormat="false" ht="30" hidden="false" customHeight="true" outlineLevel="0" collapsed="false">
      <c r="C7" s="21" t="s">
        <v>206</v>
      </c>
      <c r="D7" s="39" t="n">
        <v>46022</v>
      </c>
      <c r="E7" s="39" t="n">
        <v>46387</v>
      </c>
      <c r="F7" s="39" t="n">
        <v>46752</v>
      </c>
      <c r="G7" s="39" t="n">
        <v>47118</v>
      </c>
      <c r="H7" s="39" t="n">
        <v>47483</v>
      </c>
      <c r="I7" s="39" t="n">
        <v>47848</v>
      </c>
    </row>
    <row r="8" customFormat="false" ht="15" hidden="false" customHeight="false" outlineLevel="0" collapsed="false">
      <c r="C8" s="5" t="s">
        <v>207</v>
      </c>
      <c r="D8" s="20" t="n">
        <f aca="false">-D16</f>
        <v>-86.8</v>
      </c>
      <c r="E8" s="16" t="n">
        <f aca="false">Controls!$D$33</f>
        <v>0</v>
      </c>
      <c r="F8" s="16" t="n">
        <f aca="false">Controls!$D$33</f>
        <v>0</v>
      </c>
      <c r="G8" s="16" t="n">
        <f aca="false">Controls!$D$33</f>
        <v>0</v>
      </c>
      <c r="H8" s="16" t="n">
        <f aca="false">Controls!$D$33</f>
        <v>0</v>
      </c>
      <c r="I8" s="20" t="n">
        <f aca="false">D23</f>
        <v>210.0941281434</v>
      </c>
    </row>
    <row r="11" customFormat="false" ht="15" hidden="false" customHeight="false" outlineLevel="0" collapsed="false">
      <c r="C11" s="10" t="s">
        <v>31</v>
      </c>
      <c r="D11" s="16" t="n">
        <f aca="false">'Historical &amp; Baseline'!F8</f>
        <v>14</v>
      </c>
    </row>
    <row r="12" customFormat="false" ht="15" hidden="false" customHeight="false" outlineLevel="0" collapsed="false">
      <c r="C12" s="10" t="s">
        <v>83</v>
      </c>
      <c r="D12" s="23" t="n">
        <f aca="false">Controls!$D$21</f>
        <v>10</v>
      </c>
    </row>
    <row r="13" customFormat="false" ht="15" hidden="false" customHeight="false" outlineLevel="0" collapsed="false">
      <c r="C13" s="10" t="s">
        <v>32</v>
      </c>
      <c r="D13" s="38" t="n">
        <f aca="false">D11*D12</f>
        <v>140</v>
      </c>
    </row>
    <row r="14" customFormat="false" ht="15" hidden="false" customHeight="false" outlineLevel="0" collapsed="false">
      <c r="C14" s="10" t="s">
        <v>208</v>
      </c>
      <c r="D14" s="16" t="n">
        <f aca="false">D13*Controls!$D$23</f>
        <v>2.8</v>
      </c>
    </row>
    <row r="15" customFormat="false" ht="15" hidden="false" customHeight="false" outlineLevel="0" collapsed="false">
      <c r="C15" s="10" t="s">
        <v>209</v>
      </c>
      <c r="D15" s="16" t="n">
        <f aca="false">D11*Controls!$D$22</f>
        <v>56</v>
      </c>
    </row>
    <row r="16" customFormat="false" ht="15" hidden="false" customHeight="false" outlineLevel="0" collapsed="false">
      <c r="C16" s="5" t="s">
        <v>33</v>
      </c>
      <c r="D16" s="20" t="n">
        <f aca="false">D13+D14-D15</f>
        <v>86.8</v>
      </c>
    </row>
    <row r="18" customFormat="false" ht="15" hidden="false" customHeight="false" outlineLevel="0" collapsed="false">
      <c r="C18" s="10" t="s">
        <v>34</v>
      </c>
      <c r="D18" s="16" t="n">
        <f aca="false">'Operating Model'!H35</f>
        <v>22.758630821375</v>
      </c>
    </row>
    <row r="19" customFormat="false" ht="15" hidden="false" customHeight="false" outlineLevel="0" collapsed="false">
      <c r="C19" s="10" t="s">
        <v>210</v>
      </c>
      <c r="D19" s="23" t="n">
        <f aca="false">INDEX(Controls!$J$15:$J$17,MATCH(Controls!$D$6,Controls!$C$15:$C$17,0))</f>
        <v>10</v>
      </c>
    </row>
    <row r="20" customFormat="false" ht="15" hidden="false" customHeight="false" outlineLevel="0" collapsed="false">
      <c r="C20" s="10" t="s">
        <v>35</v>
      </c>
      <c r="D20" s="38" t="n">
        <f aca="false">D18*D19</f>
        <v>227.58630821375</v>
      </c>
    </row>
    <row r="21" customFormat="false" ht="15" hidden="false" customHeight="false" outlineLevel="0" collapsed="false">
      <c r="C21" s="10" t="s">
        <v>211</v>
      </c>
      <c r="D21" s="16" t="n">
        <f aca="false">D20*Controls!$D$24</f>
        <v>2.2758630821375</v>
      </c>
    </row>
    <row r="22" customFormat="false" ht="15" hidden="false" customHeight="false" outlineLevel="0" collapsed="false">
      <c r="C22" s="10" t="s">
        <v>212</v>
      </c>
      <c r="D22" s="16" t="n">
        <f aca="false">'Cash Flow &amp; Debt'!H22</f>
        <v>17.9706982621574</v>
      </c>
    </row>
    <row r="23" customFormat="false" ht="15" hidden="false" customHeight="false" outlineLevel="0" collapsed="false">
      <c r="C23" s="5" t="s">
        <v>213</v>
      </c>
      <c r="D23" s="19" t="n">
        <f aca="false">D20-D21-D22+'Cash Flow &amp; Debt'!H23</f>
        <v>210.0941281434</v>
      </c>
    </row>
    <row r="25" customFormat="false" ht="15" hidden="false" customHeight="false" outlineLevel="0" collapsed="false">
      <c r="C25" s="5" t="s">
        <v>37</v>
      </c>
      <c r="D25" s="40" t="n">
        <f aca="false">D23/D16</f>
        <v>2.42043926432488</v>
      </c>
    </row>
    <row r="26" customFormat="false" ht="15" hidden="false" customHeight="false" outlineLevel="0" collapsed="false">
      <c r="C26" s="5" t="s">
        <v>214</v>
      </c>
      <c r="D26" s="31" t="n">
        <f aca="false">XIRR(D8:I8,D7:I7)</f>
        <v>0.193264692095432</v>
      </c>
    </row>
    <row r="29" customFormat="false" ht="21" hidden="false" customHeight="true" outlineLevel="0" collapsed="false">
      <c r="C29" s="14" t="s">
        <v>215</v>
      </c>
      <c r="D29" s="15"/>
      <c r="E29" s="15"/>
      <c r="F29" s="15"/>
      <c r="G29" s="15"/>
      <c r="H29" s="15"/>
    </row>
    <row r="30" customFormat="false" ht="15" hidden="false" customHeight="true" outlineLevel="0" collapsed="false">
      <c r="C30" s="7" t="s">
        <v>216</v>
      </c>
      <c r="D30" s="7"/>
      <c r="E30" s="7"/>
      <c r="F30" s="7"/>
      <c r="G30" s="7"/>
      <c r="H30" s="7"/>
    </row>
    <row r="31" customFormat="false" ht="15" hidden="false" customHeight="false" outlineLevel="0" collapsed="false">
      <c r="C31" s="7"/>
      <c r="D31" s="7"/>
      <c r="E31" s="7"/>
      <c r="F31" s="7"/>
      <c r="G31" s="7"/>
      <c r="H31" s="7"/>
    </row>
    <row r="32" customFormat="false" ht="15" hidden="false" customHeight="false" outlineLevel="0" collapsed="false">
      <c r="C32" s="7"/>
      <c r="D32" s="7"/>
      <c r="E32" s="7"/>
      <c r="F32" s="7"/>
      <c r="G32" s="7"/>
      <c r="H32" s="7"/>
    </row>
    <row r="33" customFormat="false" ht="15" hidden="false" customHeight="false" outlineLevel="0" collapsed="false">
      <c r="C33" s="7"/>
      <c r="D33" s="7"/>
      <c r="E33" s="7"/>
      <c r="F33" s="7"/>
      <c r="G33" s="7"/>
      <c r="H33" s="7"/>
    </row>
    <row r="34" customFormat="false" ht="15" hidden="false" customHeight="false" outlineLevel="0" collapsed="false">
      <c r="C34" s="7"/>
      <c r="D34" s="7"/>
      <c r="E34" s="7"/>
      <c r="F34" s="7"/>
      <c r="G34" s="7"/>
      <c r="H34" s="7"/>
    </row>
  </sheetData>
  <mergeCells count="2">
    <mergeCell ref="C3:I3"/>
    <mergeCell ref="C30:H34"/>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K1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72"/>
    <col collapsed="false" customWidth="true" hidden="false" outlineLevel="0" max="4" min="4" style="0" width="17"/>
    <col collapsed="false" customWidth="true" hidden="false" outlineLevel="0" max="9" min="5" style="0" width="16"/>
    <col collapsed="false" customWidth="true" hidden="false" outlineLevel="0" max="17" min="10" style="0" width="14"/>
  </cols>
  <sheetData>
    <row r="2" customFormat="false" ht="17.35" hidden="false" customHeight="false" outlineLevel="0" collapsed="false">
      <c r="C2" s="1" t="s">
        <v>217</v>
      </c>
    </row>
    <row r="3" customFormat="false" ht="30.75" hidden="false" customHeight="true" outlineLevel="0" collapsed="false">
      <c r="C3" s="2" t="s">
        <v>218</v>
      </c>
      <c r="D3" s="2"/>
      <c r="E3" s="2"/>
      <c r="F3" s="2"/>
      <c r="G3" s="2"/>
      <c r="H3" s="2"/>
      <c r="I3" s="2"/>
      <c r="J3" s="2"/>
      <c r="K3" s="2"/>
    </row>
    <row r="4" customFormat="false" ht="15" hidden="false" customHeight="false" outlineLevel="0" collapsed="false">
      <c r="C4" s="3"/>
      <c r="D4" s="3"/>
      <c r="E4" s="3"/>
      <c r="F4" s="3"/>
      <c r="G4" s="3"/>
      <c r="H4" s="3"/>
      <c r="I4" s="3"/>
      <c r="J4" s="3"/>
      <c r="K4" s="3"/>
    </row>
    <row r="5" customFormat="false" ht="15" hidden="false" customHeight="false" outlineLevel="0" collapsed="false">
      <c r="C5" s="5" t="s">
        <v>29</v>
      </c>
      <c r="D5" s="13" t="str">
        <f aca="false">Controls!D6</f>
        <v>Base</v>
      </c>
    </row>
    <row r="7" customFormat="false" ht="21" hidden="false" customHeight="true" outlineLevel="0" collapsed="false">
      <c r="C7" s="14" t="s">
        <v>219</v>
      </c>
      <c r="D7" s="15"/>
      <c r="E7" s="15"/>
      <c r="F7" s="15"/>
      <c r="G7" s="15"/>
      <c r="H7" s="15"/>
      <c r="I7" s="15"/>
      <c r="J7" s="15"/>
    </row>
    <row r="8" customFormat="false" ht="15" hidden="false" customHeight="false" outlineLevel="0" collapsed="false">
      <c r="C8" s="41" t="s">
        <v>220</v>
      </c>
      <c r="D8" s="41"/>
      <c r="E8" s="41"/>
      <c r="F8" s="41"/>
      <c r="G8" s="41"/>
      <c r="H8" s="41"/>
    </row>
    <row r="9" customFormat="false" ht="30" hidden="false" customHeight="true" outlineLevel="0" collapsed="false">
      <c r="C9" s="21" t="s">
        <v>34</v>
      </c>
      <c r="D9" s="42" t="n">
        <v>8</v>
      </c>
      <c r="E9" s="42" t="n">
        <v>9</v>
      </c>
      <c r="F9" s="42" t="n">
        <v>10</v>
      </c>
      <c r="G9" s="42" t="n">
        <v>11</v>
      </c>
      <c r="H9" s="42" t="n">
        <v>12</v>
      </c>
      <c r="J9" s="43" t="s">
        <v>221</v>
      </c>
    </row>
    <row r="10" customFormat="false" ht="15" hidden="false" customHeight="false" outlineLevel="0" collapsed="false">
      <c r="C10" s="16" t="n">
        <f aca="false">Returns!$D$18*$J10</f>
        <v>19.3448361981688</v>
      </c>
      <c r="D10" s="23" t="n">
        <f aca="false">(($C10*D$9)*(1-Controls!$D$24)-Returns!$D$22+'Cash Flow &amp; Debt'!$H$23)/Returns!$D$16</f>
        <v>1.58980167858622</v>
      </c>
      <c r="E10" s="23" t="n">
        <f aca="false">(($C10*E$9)*(1-Controls!$D$24)-Returns!$D$22+'Cash Flow &amp; Debt'!$H$23)/Returns!$D$16</f>
        <v>1.81043978729805</v>
      </c>
      <c r="F10" s="23" t="n">
        <f aca="false">(($C10*F$9)*(1-Controls!$D$24)-Returns!$D$22+'Cash Flow &amp; Debt'!$H$23)/Returns!$D$16</f>
        <v>2.03107789600988</v>
      </c>
      <c r="G10" s="23" t="n">
        <f aca="false">(($C10*G$9)*(1-Controls!$D$24)-Returns!$D$22+'Cash Flow &amp; Debt'!$H$23)/Returns!$D$16</f>
        <v>2.25171600472171</v>
      </c>
      <c r="H10" s="23" t="n">
        <f aca="false">(($C10*H$9)*(1-Controls!$D$24)-Returns!$D$22+'Cash Flow &amp; Debt'!$H$23)/Returns!$D$16</f>
        <v>2.47235411343355</v>
      </c>
      <c r="J10" s="26" t="n">
        <v>0.85</v>
      </c>
    </row>
    <row r="11" customFormat="false" ht="15" hidden="false" customHeight="false" outlineLevel="0" collapsed="false">
      <c r="C11" s="16" t="n">
        <f aca="false">Returns!$D$18*$J11</f>
        <v>21.0517335097719</v>
      </c>
      <c r="D11" s="23" t="n">
        <f aca="false">(($C11*D$9)*(1-Controls!$D$24)-Returns!$D$22+'Cash Flow &amp; Debt'!$H$23)/Returns!$D$16</f>
        <v>1.74554622591222</v>
      </c>
      <c r="E11" s="23" t="n">
        <f aca="false">(($C11*E$9)*(1-Controls!$D$24)-Returns!$D$22+'Cash Flow &amp; Debt'!$H$23)/Returns!$D$16</f>
        <v>1.9856524030398</v>
      </c>
      <c r="F11" s="23" t="n">
        <f aca="false">(($C11*F$9)*(1-Controls!$D$24)-Returns!$D$22+'Cash Flow &amp; Debt'!$H$23)/Returns!$D$16</f>
        <v>2.22575858016738</v>
      </c>
      <c r="G11" s="23" t="n">
        <f aca="false">(($C11*G$9)*(1-Controls!$D$24)-Returns!$D$22+'Cash Flow &amp; Debt'!$H$23)/Returns!$D$16</f>
        <v>2.46586475729496</v>
      </c>
      <c r="H11" s="23" t="n">
        <f aca="false">(($C11*H$9)*(1-Controls!$D$24)-Returns!$D$22+'Cash Flow &amp; Debt'!$H$23)/Returns!$D$16</f>
        <v>2.70597093442255</v>
      </c>
      <c r="J11" s="26" t="n">
        <v>0.925</v>
      </c>
    </row>
    <row r="12" customFormat="false" ht="15" hidden="false" customHeight="false" outlineLevel="0" collapsed="false">
      <c r="C12" s="16" t="n">
        <f aca="false">Returns!$D$18*$J12</f>
        <v>22.758630821375</v>
      </c>
      <c r="D12" s="23" t="n">
        <f aca="false">(($C12*D$9)*(1-Controls!$D$24)-Returns!$D$22+'Cash Flow &amp; Debt'!$H$23)/Returns!$D$16</f>
        <v>1.90129077323822</v>
      </c>
      <c r="E12" s="23" t="n">
        <f aca="false">(($C12*E$9)*(1-Controls!$D$24)-Returns!$D$22+'Cash Flow &amp; Debt'!$H$23)/Returns!$D$16</f>
        <v>2.16086501878155</v>
      </c>
      <c r="F12" s="23" t="n">
        <f aca="false">(($C12*F$9)*(1-Controls!$D$24)-Returns!$D$22+'Cash Flow &amp; Debt'!$H$23)/Returns!$D$16</f>
        <v>2.42043926432488</v>
      </c>
      <c r="G12" s="23" t="n">
        <f aca="false">(($C12*G$9)*(1-Controls!$D$24)-Returns!$D$22+'Cash Flow &amp; Debt'!$H$23)/Returns!$D$16</f>
        <v>2.68001350986821</v>
      </c>
      <c r="H12" s="23" t="n">
        <f aca="false">(($C12*H$9)*(1-Controls!$D$24)-Returns!$D$22+'Cash Flow &amp; Debt'!$H$23)/Returns!$D$16</f>
        <v>2.93958775541155</v>
      </c>
      <c r="J12" s="26" t="n">
        <v>1</v>
      </c>
    </row>
    <row r="13" customFormat="false" ht="15" hidden="false" customHeight="false" outlineLevel="0" collapsed="false">
      <c r="C13" s="16" t="n">
        <f aca="false">Returns!$D$18*$J13</f>
        <v>24.4655281329781</v>
      </c>
      <c r="D13" s="23" t="n">
        <f aca="false">(($C13*D$9)*(1-Controls!$D$24)-Returns!$D$22+'Cash Flow &amp; Debt'!$H$23)/Returns!$D$16</f>
        <v>2.05703532056422</v>
      </c>
      <c r="E13" s="23" t="n">
        <f aca="false">(($C13*E$9)*(1-Controls!$D$24)-Returns!$D$22+'Cash Flow &amp; Debt'!$H$23)/Returns!$D$16</f>
        <v>2.3360776345233</v>
      </c>
      <c r="F13" s="23" t="n">
        <f aca="false">(($C13*F$9)*(1-Controls!$D$24)-Returns!$D$22+'Cash Flow &amp; Debt'!$H$23)/Returns!$D$16</f>
        <v>2.61511994848238</v>
      </c>
      <c r="G13" s="23" t="n">
        <f aca="false">(($C13*G$9)*(1-Controls!$D$24)-Returns!$D$22+'Cash Flow &amp; Debt'!$H$23)/Returns!$D$16</f>
        <v>2.89416226244146</v>
      </c>
      <c r="H13" s="23" t="n">
        <f aca="false">(($C13*H$9)*(1-Controls!$D$24)-Returns!$D$22+'Cash Flow &amp; Debt'!$H$23)/Returns!$D$16</f>
        <v>3.17320457640054</v>
      </c>
      <c r="J13" s="26" t="n">
        <v>1.075</v>
      </c>
    </row>
    <row r="14" customFormat="false" ht="15" hidden="false" customHeight="false" outlineLevel="0" collapsed="false">
      <c r="C14" s="16" t="n">
        <f aca="false">Returns!$D$18*$J14</f>
        <v>26.1724254445812</v>
      </c>
      <c r="D14" s="23" t="n">
        <f aca="false">(($C14*D$9)*(1-Controls!$D$24)-Returns!$D$22+'Cash Flow &amp; Debt'!$H$23)/Returns!$D$16</f>
        <v>2.21277986789021</v>
      </c>
      <c r="E14" s="23" t="n">
        <f aca="false">(($C14*E$9)*(1-Controls!$D$24)-Returns!$D$22+'Cash Flow &amp; Debt'!$H$23)/Returns!$D$16</f>
        <v>2.51129025026505</v>
      </c>
      <c r="F14" s="23" t="n">
        <f aca="false">(($C14*F$9)*(1-Controls!$D$24)-Returns!$D$22+'Cash Flow &amp; Debt'!$H$23)/Returns!$D$16</f>
        <v>2.80980063263988</v>
      </c>
      <c r="G14" s="23" t="n">
        <f aca="false">(($C14*G$9)*(1-Controls!$D$24)-Returns!$D$22+'Cash Flow &amp; Debt'!$H$23)/Returns!$D$16</f>
        <v>3.10831101501471</v>
      </c>
      <c r="H14" s="23" t="n">
        <f aca="false">(($C14*H$9)*(1-Controls!$D$24)-Returns!$D$22+'Cash Flow &amp; Debt'!$H$23)/Returns!$D$16</f>
        <v>3.40682139738954</v>
      </c>
      <c r="J14" s="26" t="n">
        <v>1.15</v>
      </c>
    </row>
    <row r="16" customFormat="false" ht="15" hidden="false" customHeight="true" outlineLevel="0" collapsed="false">
      <c r="C16" s="7" t="s">
        <v>222</v>
      </c>
      <c r="D16" s="7"/>
      <c r="E16" s="7"/>
      <c r="F16" s="7"/>
      <c r="G16" s="7"/>
      <c r="H16" s="7"/>
    </row>
    <row r="17" customFormat="false" ht="15" hidden="false" customHeight="false" outlineLevel="0" collapsed="false">
      <c r="C17" s="7"/>
      <c r="D17" s="7"/>
      <c r="E17" s="7"/>
      <c r="F17" s="7"/>
      <c r="G17" s="7"/>
      <c r="H17" s="7"/>
    </row>
    <row r="20" customFormat="false" ht="21" hidden="false" customHeight="true" outlineLevel="0" collapsed="false">
      <c r="C20" s="14" t="s">
        <v>223</v>
      </c>
      <c r="D20" s="15"/>
      <c r="E20" s="15"/>
      <c r="F20" s="15"/>
      <c r="G20" s="15"/>
      <c r="H20" s="15"/>
      <c r="I20" s="15"/>
      <c r="J20" s="15"/>
    </row>
    <row r="21" customFormat="false" ht="15" hidden="false" customHeight="false" outlineLevel="0" collapsed="false">
      <c r="C21" s="41" t="s">
        <v>224</v>
      </c>
      <c r="D21" s="41"/>
      <c r="E21" s="41"/>
      <c r="F21" s="41"/>
      <c r="G21" s="41"/>
      <c r="H21" s="41"/>
    </row>
    <row r="22" customFormat="false" ht="30" hidden="false" customHeight="true" outlineLevel="0" collapsed="false">
      <c r="C22" s="21" t="s">
        <v>79</v>
      </c>
      <c r="D22" s="44" t="n">
        <v>0.3</v>
      </c>
      <c r="E22" s="44" t="n">
        <v>0.5</v>
      </c>
      <c r="F22" s="44" t="n">
        <v>0.65</v>
      </c>
      <c r="G22" s="44" t="n">
        <v>0.8</v>
      </c>
      <c r="H22" s="44" t="n">
        <v>1</v>
      </c>
    </row>
    <row r="23" customFormat="false" ht="15" hidden="false" customHeight="false" outlineLevel="0" collapsed="false">
      <c r="C23" s="27" t="n">
        <v>8</v>
      </c>
      <c r="D23" s="23" t="n">
        <f aca="false">(('Operating Model'!$H$35-'Operating Model'!$H$29+'Operating Model'!$H$28*$D$36)*$C23*(1-Controls!$D$24)-$I$49+$I$50)/Returns!$D$16</f>
        <v>1.87532274096395</v>
      </c>
      <c r="E23" s="23" t="n">
        <f aca="false">(('Operating Model'!$H$35-'Operating Model'!$H$29+'Operating Model'!$H$28*$D$52)*$C23*(1-Controls!$D$24)-$I$65+$I$66)/Returns!$D$16</f>
        <v>1.89016161654924</v>
      </c>
      <c r="F23" s="23" t="n">
        <f aca="false">(('Operating Model'!$H$35-'Operating Model'!$H$29+'Operating Model'!$H$28*$D$68)*$C23*(1-Controls!$D$24)-$I$81+$I$82)/Returns!$D$16</f>
        <v>1.90129077323822</v>
      </c>
      <c r="G23" s="23" t="n">
        <f aca="false">(('Operating Model'!$H$35-'Operating Model'!$H$29+'Operating Model'!$H$28*$D$84)*$C23*(1-Controls!$D$24)-$I$97+$I$98)/Returns!$D$16</f>
        <v>1.91241992992719</v>
      </c>
      <c r="H23" s="23" t="n">
        <f aca="false">(('Operating Model'!$H$35-'Operating Model'!$H$29+'Operating Model'!$H$28*$D$100)*$C23*(1-Controls!$D$24)-$I$113+$I$114)/Returns!$D$16</f>
        <v>1.92725880551248</v>
      </c>
    </row>
    <row r="24" customFormat="false" ht="15" hidden="false" customHeight="false" outlineLevel="0" collapsed="false">
      <c r="C24" s="27" t="n">
        <v>9</v>
      </c>
      <c r="D24" s="23" t="n">
        <f aca="false">(('Operating Model'!$H$35-'Operating Model'!$H$29+'Operating Model'!$H$28*$D$36)*$C24*(1-Controls!$D$24)-$I$49+$I$50)/Returns!$D$16</f>
        <v>2.13254302199115</v>
      </c>
      <c r="E24" s="23" t="n">
        <f aca="false">(('Operating Model'!$H$35-'Operating Model'!$H$29+'Operating Model'!$H$28*$D$52)*$C24*(1-Controls!$D$24)-$I$65+$I$66)/Returns!$D$16</f>
        <v>2.14872702015709</v>
      </c>
      <c r="F24" s="23" t="n">
        <f aca="false">(('Operating Model'!$H$35-'Operating Model'!$H$29+'Operating Model'!$H$28*$D$68)*$C24*(1-Controls!$D$24)-$I$81+$I$82)/Returns!$D$16</f>
        <v>2.16086501878155</v>
      </c>
      <c r="G24" s="23" t="n">
        <f aca="false">(('Operating Model'!$H$35-'Operating Model'!$H$29+'Operating Model'!$H$28*$D$84)*$C24*(1-Controls!$D$24)-$I$97+$I$98)/Returns!$D$16</f>
        <v>2.173003017406</v>
      </c>
      <c r="H24" s="23" t="n">
        <f aca="false">(('Operating Model'!$H$35-'Operating Model'!$H$29+'Operating Model'!$H$28*$D$100)*$C24*(1-Controls!$D$24)-$I$113+$I$114)/Returns!$D$16</f>
        <v>2.18918701557195</v>
      </c>
    </row>
    <row r="25" customFormat="false" ht="15" hidden="false" customHeight="false" outlineLevel="0" collapsed="false">
      <c r="C25" s="27" t="n">
        <v>10</v>
      </c>
      <c r="D25" s="23" t="n">
        <f aca="false">(('Operating Model'!$H$35-'Operating Model'!$H$29+'Operating Model'!$H$28*$D$36)*$C25*(1-Controls!$D$24)-$I$49+$I$50)/Returns!$D$16</f>
        <v>2.38976330301835</v>
      </c>
      <c r="E25" s="23" t="n">
        <f aca="false">(('Operating Model'!$H$35-'Operating Model'!$H$29+'Operating Model'!$H$28*$D$52)*$C25*(1-Controls!$D$24)-$I$65+$I$66)/Returns!$D$16</f>
        <v>2.40729242376494</v>
      </c>
      <c r="F25" s="23" t="n">
        <f aca="false">(('Operating Model'!$H$35-'Operating Model'!$H$29+'Operating Model'!$H$28*$D$68)*$C25*(1-Controls!$D$24)-$I$81+$I$82)/Returns!$D$16</f>
        <v>2.42043926432488</v>
      </c>
      <c r="G25" s="23" t="n">
        <f aca="false">(('Operating Model'!$H$35-'Operating Model'!$H$29+'Operating Model'!$H$28*$D$84)*$C25*(1-Controls!$D$24)-$I$97+$I$98)/Returns!$D$16</f>
        <v>2.43358610488482</v>
      </c>
      <c r="H25" s="23" t="n">
        <f aca="false">(('Operating Model'!$H$35-'Operating Model'!$H$29+'Operating Model'!$H$28*$D$100)*$C25*(1-Controls!$D$24)-$I$113+$I$114)/Returns!$D$16</f>
        <v>2.45111522563141</v>
      </c>
    </row>
    <row r="26" customFormat="false" ht="15" hidden="false" customHeight="false" outlineLevel="0" collapsed="false">
      <c r="C26" s="27" t="n">
        <v>11</v>
      </c>
      <c r="D26" s="23" t="n">
        <f aca="false">(('Operating Model'!$H$35-'Operating Model'!$H$29+'Operating Model'!$H$28*$D$36)*$C26*(1-Controls!$D$24)-$I$49+$I$50)/Returns!$D$16</f>
        <v>2.64698358404556</v>
      </c>
      <c r="E26" s="23" t="n">
        <f aca="false">(('Operating Model'!$H$35-'Operating Model'!$H$29+'Operating Model'!$H$28*$D$52)*$C26*(1-Controls!$D$24)-$I$65+$I$66)/Returns!$D$16</f>
        <v>2.66585782737279</v>
      </c>
      <c r="F26" s="23" t="n">
        <f aca="false">(('Operating Model'!$H$35-'Operating Model'!$H$29+'Operating Model'!$H$28*$D$68)*$C26*(1-Controls!$D$24)-$I$81+$I$82)/Returns!$D$16</f>
        <v>2.68001350986821</v>
      </c>
      <c r="G26" s="23" t="n">
        <f aca="false">(('Operating Model'!$H$35-'Operating Model'!$H$29+'Operating Model'!$H$28*$D$84)*$C26*(1-Controls!$D$24)-$I$97+$I$98)/Returns!$D$16</f>
        <v>2.69416919236364</v>
      </c>
      <c r="H26" s="23" t="n">
        <f aca="false">(('Operating Model'!$H$35-'Operating Model'!$H$29+'Operating Model'!$H$28*$D$100)*$C26*(1-Controls!$D$24)-$I$113+$I$114)/Returns!$D$16</f>
        <v>2.71304343569087</v>
      </c>
    </row>
    <row r="27" customFormat="false" ht="15" hidden="false" customHeight="false" outlineLevel="0" collapsed="false">
      <c r="C27" s="27" t="n">
        <v>12</v>
      </c>
      <c r="D27" s="23" t="n">
        <f aca="false">(('Operating Model'!$H$35-'Operating Model'!$H$29+'Operating Model'!$H$28*$D$36)*$C27*(1-Controls!$D$24)-$I$49+$I$50)/Returns!$D$16</f>
        <v>2.90420386507276</v>
      </c>
      <c r="E27" s="23" t="n">
        <f aca="false">(('Operating Model'!$H$35-'Operating Model'!$H$29+'Operating Model'!$H$28*$D$52)*$C27*(1-Controls!$D$24)-$I$65+$I$66)/Returns!$D$16</f>
        <v>2.92442323098064</v>
      </c>
      <c r="F27" s="23" t="n">
        <f aca="false">(('Operating Model'!$H$35-'Operating Model'!$H$29+'Operating Model'!$H$28*$D$68)*$C27*(1-Controls!$D$24)-$I$81+$I$82)/Returns!$D$16</f>
        <v>2.93958775541155</v>
      </c>
      <c r="G27" s="23" t="n">
        <f aca="false">(('Operating Model'!$H$35-'Operating Model'!$H$29+'Operating Model'!$H$28*$D$84)*$C27*(1-Controls!$D$24)-$I$97+$I$98)/Returns!$D$16</f>
        <v>2.95475227984245</v>
      </c>
      <c r="H27" s="23" t="n">
        <f aca="false">(('Operating Model'!$H$35-'Operating Model'!$H$29+'Operating Model'!$H$28*$D$100)*$C27*(1-Controls!$D$24)-$I$113+$I$114)/Returns!$D$16</f>
        <v>2.97497164575033</v>
      </c>
    </row>
    <row r="29" customFormat="false" ht="15" hidden="false" customHeight="true" outlineLevel="0" collapsed="false">
      <c r="C29" s="7" t="s">
        <v>225</v>
      </c>
      <c r="D29" s="7"/>
      <c r="E29" s="7"/>
      <c r="F29" s="7"/>
      <c r="G29" s="7"/>
      <c r="H29" s="7"/>
    </row>
    <row r="30" customFormat="false" ht="15" hidden="false" customHeight="false" outlineLevel="0" collapsed="false">
      <c r="C30" s="7"/>
      <c r="D30" s="7"/>
      <c r="E30" s="7"/>
      <c r="F30" s="7"/>
      <c r="G30" s="7"/>
      <c r="H30" s="7"/>
    </row>
    <row r="31" customFormat="false" ht="21" hidden="false" customHeight="true" outlineLevel="0" collapsed="false">
      <c r="C31" s="14" t="s">
        <v>226</v>
      </c>
      <c r="D31" s="15"/>
      <c r="E31" s="15"/>
      <c r="F31" s="15"/>
      <c r="G31" s="15"/>
      <c r="H31" s="15"/>
      <c r="I31" s="15"/>
      <c r="J31" s="15"/>
      <c r="K31" s="15"/>
    </row>
    <row r="33" customFormat="false" ht="15" hidden="false" customHeight="false" outlineLevel="0" collapsed="false">
      <c r="C33" s="5" t="s">
        <v>227</v>
      </c>
    </row>
    <row r="34" customFormat="false" ht="15" hidden="false" customHeight="false" outlineLevel="0" collapsed="false">
      <c r="C34" s="10" t="s">
        <v>228</v>
      </c>
    </row>
    <row r="36" customFormat="false" ht="15" hidden="false" customHeight="false" outlineLevel="0" collapsed="false">
      <c r="C36" s="5" t="s">
        <v>229</v>
      </c>
      <c r="D36" s="26" t="n">
        <v>0.3</v>
      </c>
      <c r="E36" s="28" t="n">
        <v>1</v>
      </c>
      <c r="F36" s="28" t="n">
        <v>2</v>
      </c>
      <c r="G36" s="28" t="n">
        <v>3</v>
      </c>
      <c r="H36" s="28" t="n">
        <v>4</v>
      </c>
      <c r="I36" s="28" t="n">
        <v>5</v>
      </c>
    </row>
    <row r="37" customFormat="false" ht="15" hidden="false" customHeight="false" outlineLevel="0" collapsed="false">
      <c r="C37" s="10" t="s">
        <v>230</v>
      </c>
      <c r="E37" s="16" t="n">
        <f aca="false">'Operating Model'!D35-'Operating Model'!D29+'Operating Model'!D28*$D36</f>
        <v>14.07364</v>
      </c>
      <c r="F37" s="16" t="n">
        <f aca="false">'Operating Model'!E35-'Operating Model'!E29+'Operating Model'!E28*$D36</f>
        <v>17.896308</v>
      </c>
      <c r="G37" s="16" t="n">
        <f aca="false">'Operating Model'!F35-'Operating Model'!F29+'Operating Model'!F28*$D36</f>
        <v>19.7535405</v>
      </c>
      <c r="H37" s="16" t="n">
        <f aca="false">'Operating Model'!G35-'Operating Model'!G29+'Operating Model'!G28*$D36</f>
        <v>21.3050945</v>
      </c>
      <c r="I37" s="16" t="n">
        <f aca="false">'Operating Model'!H35-'Operating Model'!H29+'Operating Model'!H28*$D36</f>
        <v>22.552242821375</v>
      </c>
    </row>
    <row r="38" customFormat="false" ht="15" hidden="false" customHeight="false" outlineLevel="0" collapsed="false">
      <c r="C38" s="10" t="s">
        <v>186</v>
      </c>
      <c r="E38" s="16" t="n">
        <f aca="false">'Operating Model'!D9*Controls!$D$27</f>
        <v>2.65</v>
      </c>
      <c r="F38" s="16" t="n">
        <f aca="false">'Operating Model'!E9*Controls!$D$27</f>
        <v>2.809</v>
      </c>
      <c r="G38" s="16" t="n">
        <f aca="false">'Operating Model'!F9*Controls!$D$27</f>
        <v>2.963495</v>
      </c>
      <c r="H38" s="16" t="n">
        <f aca="false">'Operating Model'!G9*Controls!$D$27</f>
        <v>3.11166975</v>
      </c>
      <c r="I38" s="16" t="n">
        <f aca="false">'Operating Model'!H9*Controls!$D$27</f>
        <v>3.25169488875</v>
      </c>
    </row>
    <row r="39" customFormat="false" ht="15" hidden="false" customHeight="false" outlineLevel="0" collapsed="false">
      <c r="C39" s="10" t="s">
        <v>231</v>
      </c>
      <c r="E39" s="16" t="n">
        <f aca="false">Returns!$D$15*Controls!$D$26</f>
        <v>5.04</v>
      </c>
      <c r="F39" s="16" t="n">
        <f aca="false">E49*Controls!$D$26</f>
        <v>4.722003225</v>
      </c>
      <c r="G39" s="16" t="n">
        <f aca="false">F49*Controls!$D$26</f>
        <v>4.19002597701563</v>
      </c>
      <c r="H39" s="16" t="n">
        <f aca="false">G49*Controls!$D$26</f>
        <v>3.49253377916845</v>
      </c>
      <c r="I39" s="16" t="n">
        <f aca="false">H49*Controls!$D$26</f>
        <v>2.64794141193331</v>
      </c>
    </row>
    <row r="40" customFormat="false" ht="15" hidden="false" customHeight="false" outlineLevel="0" collapsed="false">
      <c r="C40" s="10" t="s">
        <v>232</v>
      </c>
      <c r="E40" s="16" t="n">
        <f aca="false">MAX(0,E37-E38-E39)*Controls!$D$25</f>
        <v>1.59591</v>
      </c>
      <c r="F40" s="16" t="n">
        <f aca="false">MAX(0,F37-F38-F39)*Controls!$D$25</f>
        <v>2.59132619375</v>
      </c>
      <c r="G40" s="16" t="n">
        <f aca="false">MAX(0,G37-G38-G39)*Controls!$D$25</f>
        <v>3.15000488074609</v>
      </c>
      <c r="H40" s="16" t="n">
        <f aca="false">MAX(0,H37-H38-H39)*Controls!$D$25</f>
        <v>3.67522274270789</v>
      </c>
      <c r="I40" s="16" t="n">
        <f aca="false">MAX(0,I37-I38-I39)*Controls!$D$25</f>
        <v>4.16315163017292</v>
      </c>
    </row>
    <row r="41" customFormat="false" ht="15" hidden="false" customHeight="false" outlineLevel="0" collapsed="false">
      <c r="C41" s="10" t="s">
        <v>192</v>
      </c>
      <c r="E41" s="16" t="n">
        <f aca="false">'Operating Model'!D9*Controls!$D$28</f>
        <v>3.18</v>
      </c>
      <c r="F41" s="16" t="n">
        <f aca="false">'Operating Model'!E9*Controls!$D$28</f>
        <v>3.3708</v>
      </c>
      <c r="G41" s="16" t="n">
        <f aca="false">'Operating Model'!F9*Controls!$D$28</f>
        <v>3.556194</v>
      </c>
      <c r="H41" s="16" t="n">
        <f aca="false">'Operating Model'!G9*Controls!$D$28</f>
        <v>3.7340037</v>
      </c>
      <c r="I41" s="16" t="n">
        <f aca="false">'Operating Model'!H9*Controls!$D$28</f>
        <v>3.9020338665</v>
      </c>
    </row>
    <row r="42" customFormat="false" ht="15" hidden="false" customHeight="false" outlineLevel="0" collapsed="false">
      <c r="C42" s="10" t="s">
        <v>193</v>
      </c>
      <c r="E42" s="16" t="n">
        <f aca="false">MAX(0,('Operating Model'!D9-'Historical &amp; Baseline'!$F$7)*Controls!$D$29)</f>
        <v>0.48</v>
      </c>
      <c r="F42" s="16" t="n">
        <f aca="false">MAX(0,('Operating Model'!E9-'Operating Model'!D9)*Controls!$D$29)</f>
        <v>0.5088</v>
      </c>
      <c r="G42" s="16" t="n">
        <f aca="false">MAX(0,('Operating Model'!F9-'Operating Model'!E9)*Controls!$D$29)</f>
        <v>0.494383999999999</v>
      </c>
      <c r="H42" s="16" t="n">
        <f aca="false">MAX(0,('Operating Model'!G9-'Operating Model'!F9)*Controls!$D$29)</f>
        <v>0.4741592</v>
      </c>
      <c r="I42" s="16" t="n">
        <f aca="false">MAX(0,('Operating Model'!H9-'Operating Model'!G9)*Controls!$D$29)</f>
        <v>0.448080443999999</v>
      </c>
    </row>
    <row r="43" customFormat="false" ht="15" hidden="false" customHeight="false" outlineLevel="0" collapsed="false">
      <c r="C43" s="10" t="s">
        <v>194</v>
      </c>
      <c r="E43" s="38" t="n">
        <f aca="false">E37-E40-E39-E41-E42</f>
        <v>3.77773</v>
      </c>
      <c r="F43" s="38" t="n">
        <f aca="false">F37-F40-F39-F41-F42</f>
        <v>6.70337858125</v>
      </c>
      <c r="G43" s="38" t="n">
        <f aca="false">G37-G40-G39-G41-G42</f>
        <v>8.36293164223828</v>
      </c>
      <c r="H43" s="38" t="n">
        <f aca="false">H37-H40-H39-H41-H42</f>
        <v>9.92917507812367</v>
      </c>
      <c r="I43" s="38" t="n">
        <f aca="false">I37-I40-I39-I41-I42</f>
        <v>11.3910354687688</v>
      </c>
    </row>
    <row r="44" customFormat="false" ht="15" hidden="false" customHeight="false" outlineLevel="0" collapsed="false">
      <c r="C44" s="10" t="s">
        <v>233</v>
      </c>
      <c r="E44" s="16" t="n">
        <f aca="false">Returns!$D$15</f>
        <v>56</v>
      </c>
      <c r="F44" s="38" t="n">
        <f aca="false">E49</f>
        <v>52.4667025</v>
      </c>
      <c r="G44" s="38" t="n">
        <f aca="false">F49</f>
        <v>46.5558441890625</v>
      </c>
      <c r="H44" s="38" t="n">
        <f aca="false">G49</f>
        <v>38.8059308796494</v>
      </c>
      <c r="I44" s="38" t="n">
        <f aca="false">H49</f>
        <v>29.4215712437034</v>
      </c>
    </row>
    <row r="45" customFormat="false" ht="15" hidden="false" customHeight="false" outlineLevel="0" collapsed="false">
      <c r="C45" s="10" t="s">
        <v>195</v>
      </c>
      <c r="E45" s="16" t="n">
        <f aca="false">Controls!$D$33</f>
        <v>0</v>
      </c>
      <c r="F45" s="38" t="n">
        <f aca="false">E50</f>
        <v>0.2444325</v>
      </c>
      <c r="G45" s="38" t="n">
        <f aca="false">F50</f>
        <v>1.0369527703125</v>
      </c>
      <c r="H45" s="38" t="n">
        <f aca="false">G50</f>
        <v>1.6499711031377</v>
      </c>
      <c r="I45" s="38" t="n">
        <f aca="false">H50</f>
        <v>2.19478654531534</v>
      </c>
    </row>
    <row r="46" customFormat="false" ht="15" hidden="false" customHeight="false" outlineLevel="0" collapsed="false">
      <c r="C46" s="10" t="s">
        <v>196</v>
      </c>
      <c r="E46" s="16" t="n">
        <f aca="false">MIN(E44,Returns!$D$15*Controls!$D$30)</f>
        <v>2.8</v>
      </c>
      <c r="F46" s="16" t="n">
        <f aca="false">MIN(F44,Returns!$D$15*Controls!$D$30)</f>
        <v>2.8</v>
      </c>
      <c r="G46" s="16" t="n">
        <f aca="false">MIN(G44,Returns!$D$15*Controls!$D$30)</f>
        <v>2.8</v>
      </c>
      <c r="H46" s="16" t="n">
        <f aca="false">MIN(H44,Returns!$D$15*Controls!$D$30)</f>
        <v>2.8</v>
      </c>
      <c r="I46" s="16" t="n">
        <f aca="false">MIN(I44,Returns!$D$15*Controls!$D$30)</f>
        <v>2.8</v>
      </c>
    </row>
    <row r="47" customFormat="false" ht="15" hidden="false" customHeight="false" outlineLevel="0" collapsed="false">
      <c r="C47" s="10" t="s">
        <v>197</v>
      </c>
      <c r="E47" s="38" t="n">
        <f aca="false">E45+E43-E46</f>
        <v>0.977730000000001</v>
      </c>
      <c r="F47" s="38" t="n">
        <f aca="false">F45+F43-F46</f>
        <v>4.14781108125</v>
      </c>
      <c r="G47" s="38" t="n">
        <f aca="false">G45+G43-G46</f>
        <v>6.59988441255078</v>
      </c>
      <c r="H47" s="38" t="n">
        <f aca="false">H45+H43-H46</f>
        <v>8.77914618126136</v>
      </c>
      <c r="I47" s="38" t="n">
        <f aca="false">I45+I43-I46</f>
        <v>10.7858220140841</v>
      </c>
    </row>
    <row r="48" customFormat="false" ht="15" hidden="false" customHeight="false" outlineLevel="0" collapsed="false">
      <c r="C48" s="10" t="s">
        <v>198</v>
      </c>
      <c r="E48" s="16" t="n">
        <f aca="false">MIN(E44-E46,MAX(0,E47)*Controls!$D$31)</f>
        <v>0.733297500000001</v>
      </c>
      <c r="F48" s="16" t="n">
        <f aca="false">MIN(F44-F46,MAX(0,F47)*Controls!$D$31)</f>
        <v>3.1108583109375</v>
      </c>
      <c r="G48" s="16" t="n">
        <f aca="false">MIN(G44-G46,MAX(0,G47)*Controls!$D$31)</f>
        <v>4.94991330941309</v>
      </c>
      <c r="H48" s="16" t="n">
        <f aca="false">MIN(H44-H46,MAX(0,H47)*Controls!$D$31)</f>
        <v>6.58435963594602</v>
      </c>
      <c r="I48" s="16" t="n">
        <f aca="false">MIN(I44-I46,MAX(0,I47)*Controls!$D$31)</f>
        <v>8.08936651056309</v>
      </c>
    </row>
    <row r="49" customFormat="false" ht="15" hidden="false" customHeight="false" outlineLevel="0" collapsed="false">
      <c r="C49" s="10" t="s">
        <v>199</v>
      </c>
      <c r="E49" s="38" t="n">
        <f aca="false">E44-E46-E48</f>
        <v>52.4667025</v>
      </c>
      <c r="F49" s="38" t="n">
        <f aca="false">F44-F46-F48</f>
        <v>46.5558441890625</v>
      </c>
      <c r="G49" s="38" t="n">
        <f aca="false">G44-G46-G48</f>
        <v>38.8059308796494</v>
      </c>
      <c r="H49" s="38" t="n">
        <f aca="false">H44-H46-H48</f>
        <v>29.4215712437034</v>
      </c>
      <c r="I49" s="38" t="n">
        <f aca="false">I44-I46-I48</f>
        <v>18.5322047331403</v>
      </c>
    </row>
    <row r="50" customFormat="false" ht="15" hidden="false" customHeight="false" outlineLevel="0" collapsed="false">
      <c r="E50" s="38" t="n">
        <f aca="false">E47-E48</f>
        <v>0.2444325</v>
      </c>
      <c r="F50" s="38" t="n">
        <f aca="false">F47-F48</f>
        <v>1.0369527703125</v>
      </c>
      <c r="G50" s="38" t="n">
        <f aca="false">G47-G48</f>
        <v>1.6499711031377</v>
      </c>
      <c r="H50" s="38" t="n">
        <f aca="false">H47-H48</f>
        <v>2.19478654531534</v>
      </c>
      <c r="I50" s="38" t="n">
        <f aca="false">I47-I48</f>
        <v>2.69645550352103</v>
      </c>
    </row>
    <row r="51" customFormat="false" ht="15" hidden="false" customHeight="false" outlineLevel="0" collapsed="false">
      <c r="E51" s="38" t="n">
        <f aca="false">E49-E50</f>
        <v>52.22227</v>
      </c>
      <c r="F51" s="38" t="n">
        <f aca="false">F49-F50</f>
        <v>45.51889141875</v>
      </c>
      <c r="G51" s="38" t="n">
        <f aca="false">G49-G50</f>
        <v>37.1559597765117</v>
      </c>
      <c r="H51" s="38" t="n">
        <f aca="false">H49-H50</f>
        <v>27.2267846983881</v>
      </c>
      <c r="I51" s="38" t="n">
        <f aca="false">I49-I50</f>
        <v>15.8357492296193</v>
      </c>
    </row>
    <row r="52" customFormat="false" ht="15" hidden="false" customHeight="false" outlineLevel="0" collapsed="false">
      <c r="C52" s="5" t="s">
        <v>234</v>
      </c>
      <c r="D52" s="26" t="n">
        <v>0.5</v>
      </c>
      <c r="E52" s="28" t="n">
        <v>1</v>
      </c>
      <c r="F52" s="28" t="n">
        <v>2</v>
      </c>
      <c r="G52" s="28" t="n">
        <v>3</v>
      </c>
      <c r="H52" s="28" t="n">
        <v>4</v>
      </c>
      <c r="I52" s="28" t="n">
        <v>5</v>
      </c>
    </row>
    <row r="53" customFormat="false" ht="15" hidden="false" customHeight="false" outlineLevel="0" collapsed="false">
      <c r="C53" s="10" t="s">
        <v>230</v>
      </c>
      <c r="E53" s="16" t="n">
        <f aca="false">'Operating Model'!D35-'Operating Model'!D29+'Operating Model'!D28*$D52</f>
        <v>14.1064</v>
      </c>
      <c r="F53" s="16" t="n">
        <f aca="false">'Operating Model'!E35-'Operating Model'!E29+'Operating Model'!E28*$D52</f>
        <v>17.96838</v>
      </c>
      <c r="G53" s="16" t="n">
        <f aca="false">'Operating Model'!F35-'Operating Model'!F29+'Operating Model'!F28*$D52</f>
        <v>19.8518205</v>
      </c>
      <c r="H53" s="16" t="n">
        <f aca="false">'Operating Model'!G35-'Operating Model'!G29+'Operating Model'!G28*$D52</f>
        <v>21.4164785</v>
      </c>
      <c r="I53" s="16" t="n">
        <f aca="false">'Operating Model'!H35-'Operating Model'!H29+'Operating Model'!H28*$D52</f>
        <v>22.670178821375</v>
      </c>
    </row>
    <row r="54" customFormat="false" ht="15" hidden="false" customHeight="false" outlineLevel="0" collapsed="false">
      <c r="C54" s="10" t="s">
        <v>186</v>
      </c>
      <c r="E54" s="16" t="n">
        <f aca="false">'Operating Model'!D9*Controls!$D$27</f>
        <v>2.65</v>
      </c>
      <c r="F54" s="16" t="n">
        <f aca="false">'Operating Model'!E9*Controls!$D$27</f>
        <v>2.809</v>
      </c>
      <c r="G54" s="16" t="n">
        <f aca="false">'Operating Model'!F9*Controls!$D$27</f>
        <v>2.963495</v>
      </c>
      <c r="H54" s="16" t="n">
        <f aca="false">'Operating Model'!G9*Controls!$D$27</f>
        <v>3.11166975</v>
      </c>
      <c r="I54" s="16" t="n">
        <f aca="false">'Operating Model'!H9*Controls!$D$27</f>
        <v>3.25169488875</v>
      </c>
    </row>
    <row r="55" customFormat="false" ht="15" hidden="false" customHeight="false" outlineLevel="0" collapsed="false">
      <c r="C55" s="10" t="s">
        <v>231</v>
      </c>
      <c r="E55" s="16" t="n">
        <f aca="false">Returns!$D$15*Controls!$D$26</f>
        <v>5.04</v>
      </c>
      <c r="F55" s="16" t="n">
        <f aca="false">E65*Controls!$D$26</f>
        <v>4.72034475</v>
      </c>
      <c r="G55" s="16" t="n">
        <f aca="false">F65*Controls!$D$26</f>
        <v>4.18422027796875</v>
      </c>
      <c r="H55" s="16" t="n">
        <f aca="false">G65*Controls!$D$26</f>
        <v>3.48042193559561</v>
      </c>
      <c r="I55" s="16" t="n">
        <f aca="false">H65*Controls!$D$26</f>
        <v>2.6280010551481</v>
      </c>
    </row>
    <row r="56" customFormat="false" ht="15" hidden="false" customHeight="false" outlineLevel="0" collapsed="false">
      <c r="C56" s="10" t="s">
        <v>232</v>
      </c>
      <c r="E56" s="16" t="n">
        <f aca="false">MAX(0,E53-E54-E55)*Controls!$D$25</f>
        <v>1.6041</v>
      </c>
      <c r="F56" s="16" t="n">
        <f aca="false">MAX(0,F53-F54-F55)*Controls!$D$25</f>
        <v>2.6097588125</v>
      </c>
      <c r="G56" s="16" t="n">
        <f aca="false">MAX(0,G53-G54-G55)*Controls!$D$25</f>
        <v>3.17602630550781</v>
      </c>
      <c r="H56" s="16" t="n">
        <f aca="false">MAX(0,H53-H54-H55)*Controls!$D$25</f>
        <v>3.7060967036011</v>
      </c>
      <c r="I56" s="16" t="n">
        <f aca="false">MAX(0,I53-I54-I55)*Controls!$D$25</f>
        <v>4.19762071936923</v>
      </c>
    </row>
    <row r="57" customFormat="false" ht="15" hidden="false" customHeight="false" outlineLevel="0" collapsed="false">
      <c r="C57" s="10" t="s">
        <v>192</v>
      </c>
      <c r="E57" s="16" t="n">
        <f aca="false">'Operating Model'!D9*Controls!$D$28</f>
        <v>3.18</v>
      </c>
      <c r="F57" s="16" t="n">
        <f aca="false">'Operating Model'!E9*Controls!$D$28</f>
        <v>3.3708</v>
      </c>
      <c r="G57" s="16" t="n">
        <f aca="false">'Operating Model'!F9*Controls!$D$28</f>
        <v>3.556194</v>
      </c>
      <c r="H57" s="16" t="n">
        <f aca="false">'Operating Model'!G9*Controls!$D$28</f>
        <v>3.7340037</v>
      </c>
      <c r="I57" s="16" t="n">
        <f aca="false">'Operating Model'!H9*Controls!$D$28</f>
        <v>3.9020338665</v>
      </c>
    </row>
    <row r="58" customFormat="false" ht="15" hidden="false" customHeight="false" outlineLevel="0" collapsed="false">
      <c r="C58" s="10" t="s">
        <v>193</v>
      </c>
      <c r="E58" s="16" t="n">
        <f aca="false">MAX(0,('Operating Model'!D9-'Historical &amp; Baseline'!$F$7)*Controls!$D$29)</f>
        <v>0.48</v>
      </c>
      <c r="F58" s="16" t="n">
        <f aca="false">MAX(0,('Operating Model'!E9-'Operating Model'!D9)*Controls!$D$29)</f>
        <v>0.5088</v>
      </c>
      <c r="G58" s="16" t="n">
        <f aca="false">MAX(0,('Operating Model'!F9-'Operating Model'!E9)*Controls!$D$29)</f>
        <v>0.494383999999999</v>
      </c>
      <c r="H58" s="16" t="n">
        <f aca="false">MAX(0,('Operating Model'!G9-'Operating Model'!F9)*Controls!$D$29)</f>
        <v>0.4741592</v>
      </c>
      <c r="I58" s="16" t="n">
        <f aca="false">MAX(0,('Operating Model'!H9-'Operating Model'!G9)*Controls!$D$29)</f>
        <v>0.448080443999999</v>
      </c>
    </row>
    <row r="59" customFormat="false" ht="15" hidden="false" customHeight="false" outlineLevel="0" collapsed="false">
      <c r="C59" s="10" t="s">
        <v>194</v>
      </c>
      <c r="E59" s="38" t="n">
        <f aca="false">E53-E56-E55-E57-E58</f>
        <v>3.8023</v>
      </c>
      <c r="F59" s="38" t="n">
        <f aca="false">F53-F56-F55-F57-F58</f>
        <v>6.7586764375</v>
      </c>
      <c r="G59" s="38" t="n">
        <f aca="false">G53-G56-G55-G57-G58</f>
        <v>8.44099591652344</v>
      </c>
      <c r="H59" s="38" t="n">
        <f aca="false">H53-H56-H55-H57-H58</f>
        <v>10.0217969608033</v>
      </c>
      <c r="I59" s="38" t="n">
        <f aca="false">I53-I56-I55-I57-I58</f>
        <v>11.4944427363577</v>
      </c>
    </row>
    <row r="60" customFormat="false" ht="15" hidden="false" customHeight="false" outlineLevel="0" collapsed="false">
      <c r="C60" s="10" t="s">
        <v>233</v>
      </c>
      <c r="E60" s="16" t="n">
        <f aca="false">Returns!$D$15</f>
        <v>56</v>
      </c>
      <c r="F60" s="38" t="n">
        <f aca="false">E65</f>
        <v>52.448275</v>
      </c>
      <c r="G60" s="38" t="n">
        <f aca="false">F65</f>
        <v>46.491336421875</v>
      </c>
      <c r="H60" s="38" t="n">
        <f aca="false">G65</f>
        <v>38.6713548399512</v>
      </c>
      <c r="I60" s="38" t="n">
        <f aca="false">H65</f>
        <v>29.2000117238678</v>
      </c>
    </row>
    <row r="61" customFormat="false" ht="15" hidden="false" customHeight="false" outlineLevel="0" collapsed="false">
      <c r="C61" s="10" t="s">
        <v>195</v>
      </c>
      <c r="E61" s="16" t="n">
        <f aca="false">Controls!$D$33</f>
        <v>0</v>
      </c>
      <c r="F61" s="38" t="n">
        <f aca="false">E66</f>
        <v>0.250575</v>
      </c>
      <c r="G61" s="38" t="n">
        <f aca="false">F66</f>
        <v>1.052312859375</v>
      </c>
      <c r="H61" s="38" t="n">
        <f aca="false">G66</f>
        <v>1.67332719397461</v>
      </c>
      <c r="I61" s="38" t="n">
        <f aca="false">H66</f>
        <v>2.22378103869448</v>
      </c>
    </row>
    <row r="62" customFormat="false" ht="15" hidden="false" customHeight="false" outlineLevel="0" collapsed="false">
      <c r="C62" s="10" t="s">
        <v>196</v>
      </c>
      <c r="E62" s="16" t="n">
        <f aca="false">MIN(E60,Returns!$D$15*Controls!$D$30)</f>
        <v>2.8</v>
      </c>
      <c r="F62" s="16" t="n">
        <f aca="false">MIN(F60,Returns!$D$15*Controls!$D$30)</f>
        <v>2.8</v>
      </c>
      <c r="G62" s="16" t="n">
        <f aca="false">MIN(G60,Returns!$D$15*Controls!$D$30)</f>
        <v>2.8</v>
      </c>
      <c r="H62" s="16" t="n">
        <f aca="false">MIN(H60,Returns!$D$15*Controls!$D$30)</f>
        <v>2.8</v>
      </c>
      <c r="I62" s="16" t="n">
        <f aca="false">MIN(I60,Returns!$D$15*Controls!$D$30)</f>
        <v>2.8</v>
      </c>
    </row>
    <row r="63" customFormat="false" ht="15" hidden="false" customHeight="false" outlineLevel="0" collapsed="false">
      <c r="C63" s="10" t="s">
        <v>197</v>
      </c>
      <c r="E63" s="38" t="n">
        <f aca="false">E61+E59-E62</f>
        <v>1.0023</v>
      </c>
      <c r="F63" s="38" t="n">
        <f aca="false">F61+F59-F62</f>
        <v>4.2092514375</v>
      </c>
      <c r="G63" s="38" t="n">
        <f aca="false">G61+G59-G62</f>
        <v>6.69330877589844</v>
      </c>
      <c r="H63" s="38" t="n">
        <f aca="false">H61+H59-H62</f>
        <v>8.8951241547779</v>
      </c>
      <c r="I63" s="38" t="n">
        <f aca="false">I61+I59-I62</f>
        <v>10.9182237750522</v>
      </c>
    </row>
    <row r="64" customFormat="false" ht="15" hidden="false" customHeight="false" outlineLevel="0" collapsed="false">
      <c r="C64" s="10" t="s">
        <v>198</v>
      </c>
      <c r="E64" s="16" t="n">
        <f aca="false">MIN(E60-E62,MAX(0,E63)*Controls!$D$31)</f>
        <v>0.751725</v>
      </c>
      <c r="F64" s="16" t="n">
        <f aca="false">MIN(F60-F62,MAX(0,F63)*Controls!$D$31)</f>
        <v>3.156938578125</v>
      </c>
      <c r="G64" s="16" t="n">
        <f aca="false">MIN(G60-G62,MAX(0,G63)*Controls!$D$31)</f>
        <v>5.01998158192383</v>
      </c>
      <c r="H64" s="16" t="n">
        <f aca="false">MIN(H60-H62,MAX(0,H63)*Controls!$D$31)</f>
        <v>6.67134311608343</v>
      </c>
      <c r="I64" s="16" t="n">
        <f aca="false">MIN(I60-I62,MAX(0,I63)*Controls!$D$31)</f>
        <v>8.18866783128912</v>
      </c>
    </row>
    <row r="65" customFormat="false" ht="15" hidden="false" customHeight="false" outlineLevel="0" collapsed="false">
      <c r="C65" s="10" t="s">
        <v>199</v>
      </c>
      <c r="E65" s="38" t="n">
        <f aca="false">E60-E62-E64</f>
        <v>52.448275</v>
      </c>
      <c r="F65" s="38" t="n">
        <f aca="false">F60-F62-F64</f>
        <v>46.491336421875</v>
      </c>
      <c r="G65" s="38" t="n">
        <f aca="false">G60-G62-G64</f>
        <v>38.6713548399512</v>
      </c>
      <c r="H65" s="38" t="n">
        <f aca="false">H60-H62-H64</f>
        <v>29.2000117238678</v>
      </c>
      <c r="I65" s="38" t="n">
        <f aca="false">I60-I62-I64</f>
        <v>18.2113438925786</v>
      </c>
    </row>
    <row r="66" customFormat="false" ht="15" hidden="false" customHeight="false" outlineLevel="0" collapsed="false">
      <c r="E66" s="38" t="n">
        <f aca="false">E63-E64</f>
        <v>0.250575</v>
      </c>
      <c r="F66" s="38" t="n">
        <f aca="false">F63-F64</f>
        <v>1.052312859375</v>
      </c>
      <c r="G66" s="38" t="n">
        <f aca="false">G63-G64</f>
        <v>1.67332719397461</v>
      </c>
      <c r="H66" s="38" t="n">
        <f aca="false">H63-H64</f>
        <v>2.22378103869448</v>
      </c>
      <c r="I66" s="38" t="n">
        <f aca="false">I63-I64</f>
        <v>2.72955594376304</v>
      </c>
    </row>
    <row r="67" customFormat="false" ht="15" hidden="false" customHeight="false" outlineLevel="0" collapsed="false">
      <c r="E67" s="38" t="n">
        <f aca="false">E65-E66</f>
        <v>52.1977</v>
      </c>
      <c r="F67" s="38" t="n">
        <f aca="false">F65-F66</f>
        <v>45.4390235625</v>
      </c>
      <c r="G67" s="38" t="n">
        <f aca="false">G65-G66</f>
        <v>36.9980276459766</v>
      </c>
      <c r="H67" s="38" t="n">
        <f aca="false">H65-H66</f>
        <v>26.9762306851733</v>
      </c>
      <c r="I67" s="38" t="n">
        <f aca="false">I65-I66</f>
        <v>15.4817879488156</v>
      </c>
    </row>
    <row r="68" customFormat="false" ht="15" hidden="false" customHeight="false" outlineLevel="0" collapsed="false">
      <c r="C68" s="5" t="s">
        <v>235</v>
      </c>
      <c r="D68" s="26" t="n">
        <v>0.65</v>
      </c>
      <c r="E68" s="28" t="n">
        <v>1</v>
      </c>
      <c r="F68" s="28" t="n">
        <v>2</v>
      </c>
      <c r="G68" s="28" t="n">
        <v>3</v>
      </c>
      <c r="H68" s="28" t="n">
        <v>4</v>
      </c>
      <c r="I68" s="28" t="n">
        <v>5</v>
      </c>
    </row>
    <row r="69" customFormat="false" ht="15" hidden="false" customHeight="false" outlineLevel="0" collapsed="false">
      <c r="C69" s="10" t="s">
        <v>230</v>
      </c>
      <c r="E69" s="16" t="n">
        <f aca="false">'Operating Model'!D35-'Operating Model'!D29+'Operating Model'!D28*$D68</f>
        <v>14.13097</v>
      </c>
      <c r="F69" s="16" t="n">
        <f aca="false">'Operating Model'!E35-'Operating Model'!E29+'Operating Model'!E28*$D68</f>
        <v>18.022434</v>
      </c>
      <c r="G69" s="16" t="n">
        <f aca="false">'Operating Model'!F35-'Operating Model'!F29+'Operating Model'!F28*$D68</f>
        <v>19.9255305</v>
      </c>
      <c r="H69" s="16" t="n">
        <f aca="false">'Operating Model'!G35-'Operating Model'!G29+'Operating Model'!G28*$D68</f>
        <v>21.5000165</v>
      </c>
      <c r="I69" s="16" t="n">
        <f aca="false">'Operating Model'!H35-'Operating Model'!H29+'Operating Model'!H28*$D68</f>
        <v>22.758630821375</v>
      </c>
    </row>
    <row r="70" customFormat="false" ht="15" hidden="false" customHeight="false" outlineLevel="0" collapsed="false">
      <c r="C70" s="10" t="s">
        <v>186</v>
      </c>
      <c r="E70" s="16" t="n">
        <f aca="false">'Operating Model'!D9*Controls!$D$27</f>
        <v>2.65</v>
      </c>
      <c r="F70" s="16" t="n">
        <f aca="false">'Operating Model'!E9*Controls!$D$27</f>
        <v>2.809</v>
      </c>
      <c r="G70" s="16" t="n">
        <f aca="false">'Operating Model'!F9*Controls!$D$27</f>
        <v>2.963495</v>
      </c>
      <c r="H70" s="16" t="n">
        <f aca="false">'Operating Model'!G9*Controls!$D$27</f>
        <v>3.11166975</v>
      </c>
      <c r="I70" s="16" t="n">
        <f aca="false">'Operating Model'!H9*Controls!$D$27</f>
        <v>3.25169488875</v>
      </c>
    </row>
    <row r="71" customFormat="false" ht="15" hidden="false" customHeight="false" outlineLevel="0" collapsed="false">
      <c r="C71" s="10" t="s">
        <v>231</v>
      </c>
      <c r="E71" s="16" t="n">
        <f aca="false">Returns!$D$15*Controls!$D$26</f>
        <v>5.04</v>
      </c>
      <c r="F71" s="16" t="n">
        <f aca="false">E81*Controls!$D$26</f>
        <v>4.71910089375</v>
      </c>
      <c r="G71" s="16" t="n">
        <f aca="false">F81*Controls!$D$26</f>
        <v>4.17986600368359</v>
      </c>
      <c r="H71" s="16" t="n">
        <f aca="false">G81*Controls!$D$26</f>
        <v>3.47133805291597</v>
      </c>
      <c r="I71" s="16" t="n">
        <f aca="false">H81*Controls!$D$26</f>
        <v>2.61304578755919</v>
      </c>
    </row>
    <row r="72" customFormat="false" ht="15" hidden="false" customHeight="false" outlineLevel="0" collapsed="false">
      <c r="C72" s="10" t="s">
        <v>232</v>
      </c>
      <c r="E72" s="16" t="n">
        <f aca="false">MAX(0,E69-E70-E71)*Controls!$D$25</f>
        <v>1.6102425</v>
      </c>
      <c r="F72" s="16" t="n">
        <f aca="false">MAX(0,F69-F70-F71)*Controls!$D$25</f>
        <v>2.6235832765625</v>
      </c>
      <c r="G72" s="16" t="n">
        <f aca="false">MAX(0,G69-G70-G71)*Controls!$D$25</f>
        <v>3.1955423740791</v>
      </c>
      <c r="H72" s="16" t="n">
        <f aca="false">MAX(0,H69-H70-H71)*Controls!$D$25</f>
        <v>3.72925217427101</v>
      </c>
      <c r="I72" s="16" t="n">
        <f aca="false">MAX(0,I69-I70-I71)*Controls!$D$25</f>
        <v>4.22347253626645</v>
      </c>
    </row>
    <row r="73" customFormat="false" ht="15" hidden="false" customHeight="false" outlineLevel="0" collapsed="false">
      <c r="C73" s="10" t="s">
        <v>192</v>
      </c>
      <c r="E73" s="16" t="n">
        <f aca="false">'Operating Model'!D9*Controls!$D$28</f>
        <v>3.18</v>
      </c>
      <c r="F73" s="16" t="n">
        <f aca="false">'Operating Model'!E9*Controls!$D$28</f>
        <v>3.3708</v>
      </c>
      <c r="G73" s="16" t="n">
        <f aca="false">'Operating Model'!F9*Controls!$D$28</f>
        <v>3.556194</v>
      </c>
      <c r="H73" s="16" t="n">
        <f aca="false">'Operating Model'!G9*Controls!$D$28</f>
        <v>3.7340037</v>
      </c>
      <c r="I73" s="16" t="n">
        <f aca="false">'Operating Model'!H9*Controls!$D$28</f>
        <v>3.9020338665</v>
      </c>
    </row>
    <row r="74" customFormat="false" ht="15" hidden="false" customHeight="false" outlineLevel="0" collapsed="false">
      <c r="C74" s="10" t="s">
        <v>193</v>
      </c>
      <c r="E74" s="16" t="n">
        <f aca="false">MAX(0,('Operating Model'!D9-'Historical &amp; Baseline'!$F$7)*Controls!$D$29)</f>
        <v>0.48</v>
      </c>
      <c r="F74" s="16" t="n">
        <f aca="false">MAX(0,('Operating Model'!E9-'Operating Model'!D9)*Controls!$D$29)</f>
        <v>0.5088</v>
      </c>
      <c r="G74" s="16" t="n">
        <f aca="false">MAX(0,('Operating Model'!F9-'Operating Model'!E9)*Controls!$D$29)</f>
        <v>0.494383999999999</v>
      </c>
      <c r="H74" s="16" t="n">
        <f aca="false">MAX(0,('Operating Model'!G9-'Operating Model'!F9)*Controls!$D$29)</f>
        <v>0.4741592</v>
      </c>
      <c r="I74" s="16" t="n">
        <f aca="false">MAX(0,('Operating Model'!H9-'Operating Model'!G9)*Controls!$D$29)</f>
        <v>0.448080443999999</v>
      </c>
    </row>
    <row r="75" customFormat="false" ht="15" hidden="false" customHeight="false" outlineLevel="0" collapsed="false">
      <c r="C75" s="10" t="s">
        <v>194</v>
      </c>
      <c r="E75" s="38" t="n">
        <f aca="false">E69-E72-E71-E73-E74</f>
        <v>3.8207275</v>
      </c>
      <c r="F75" s="38" t="n">
        <f aca="false">F69-F72-F71-F73-F74</f>
        <v>6.8001498296875</v>
      </c>
      <c r="G75" s="38" t="n">
        <f aca="false">G69-G72-G71-G73-G74</f>
        <v>8.49954412223731</v>
      </c>
      <c r="H75" s="38" t="n">
        <f aca="false">H69-H72-H71-H73-H74</f>
        <v>10.091263372813</v>
      </c>
      <c r="I75" s="38" t="n">
        <f aca="false">I69-I72-I71-I73-I74</f>
        <v>11.5719981870494</v>
      </c>
    </row>
    <row r="76" customFormat="false" ht="15" hidden="false" customHeight="false" outlineLevel="0" collapsed="false">
      <c r="C76" s="10" t="s">
        <v>233</v>
      </c>
      <c r="E76" s="16" t="n">
        <f aca="false">Returns!$D$15</f>
        <v>56</v>
      </c>
      <c r="F76" s="38" t="n">
        <f aca="false">E81</f>
        <v>52.434454375</v>
      </c>
      <c r="G76" s="38" t="n">
        <f aca="false">F81</f>
        <v>46.4429555964844</v>
      </c>
      <c r="H76" s="38" t="n">
        <f aca="false">G81</f>
        <v>38.5704228101775</v>
      </c>
      <c r="I76" s="38" t="n">
        <f aca="false">H81</f>
        <v>29.033842083991</v>
      </c>
    </row>
    <row r="77" customFormat="false" ht="15" hidden="false" customHeight="false" outlineLevel="0" collapsed="false">
      <c r="C77" s="10" t="s">
        <v>195</v>
      </c>
      <c r="E77" s="16" t="n">
        <f aca="false">Controls!$D$33</f>
        <v>0</v>
      </c>
      <c r="F77" s="38" t="n">
        <f aca="false">E82</f>
        <v>0.255181875</v>
      </c>
      <c r="G77" s="38" t="n">
        <f aca="false">F82</f>
        <v>1.06383292617188</v>
      </c>
      <c r="H77" s="38" t="n">
        <f aca="false">G82</f>
        <v>1.6908442621023</v>
      </c>
      <c r="I77" s="38" t="n">
        <f aca="false">H82</f>
        <v>2.24552690872883</v>
      </c>
    </row>
    <row r="78" customFormat="false" ht="15" hidden="false" customHeight="false" outlineLevel="0" collapsed="false">
      <c r="C78" s="10" t="s">
        <v>196</v>
      </c>
      <c r="E78" s="16" t="n">
        <f aca="false">MIN(E76,Returns!$D$15*Controls!$D$30)</f>
        <v>2.8</v>
      </c>
      <c r="F78" s="16" t="n">
        <f aca="false">MIN(F76,Returns!$D$15*Controls!$D$30)</f>
        <v>2.8</v>
      </c>
      <c r="G78" s="16" t="n">
        <f aca="false">MIN(G76,Returns!$D$15*Controls!$D$30)</f>
        <v>2.8</v>
      </c>
      <c r="H78" s="16" t="n">
        <f aca="false">MIN(H76,Returns!$D$15*Controls!$D$30)</f>
        <v>2.8</v>
      </c>
      <c r="I78" s="16" t="n">
        <f aca="false">MIN(I76,Returns!$D$15*Controls!$D$30)</f>
        <v>2.8</v>
      </c>
    </row>
    <row r="79" customFormat="false" ht="15" hidden="false" customHeight="false" outlineLevel="0" collapsed="false">
      <c r="C79" s="10" t="s">
        <v>197</v>
      </c>
      <c r="E79" s="38" t="n">
        <f aca="false">E77+E75-E78</f>
        <v>1.0207275</v>
      </c>
      <c r="F79" s="38" t="n">
        <f aca="false">F77+F75-F78</f>
        <v>4.2553317046875</v>
      </c>
      <c r="G79" s="38" t="n">
        <f aca="false">G77+G75-G78</f>
        <v>6.76337704840918</v>
      </c>
      <c r="H79" s="38" t="n">
        <f aca="false">H77+H75-H78</f>
        <v>8.98210763491531</v>
      </c>
      <c r="I79" s="38" t="n">
        <f aca="false">I77+I75-I78</f>
        <v>11.0175250957782</v>
      </c>
    </row>
    <row r="80" customFormat="false" ht="15" hidden="false" customHeight="false" outlineLevel="0" collapsed="false">
      <c r="C80" s="10" t="s">
        <v>198</v>
      </c>
      <c r="E80" s="16" t="n">
        <f aca="false">MIN(E76-E78,MAX(0,E79)*Controls!$D$31)</f>
        <v>0.765545625000001</v>
      </c>
      <c r="F80" s="16" t="n">
        <f aca="false">MIN(F76-F78,MAX(0,F79)*Controls!$D$31)</f>
        <v>3.19149877851563</v>
      </c>
      <c r="G80" s="16" t="n">
        <f aca="false">MIN(G76-G78,MAX(0,G79)*Controls!$D$31)</f>
        <v>5.07253278630689</v>
      </c>
      <c r="H80" s="16" t="n">
        <f aca="false">MIN(H76-H78,MAX(0,H79)*Controls!$D$31)</f>
        <v>6.73658072618649</v>
      </c>
      <c r="I80" s="16" t="n">
        <f aca="false">MIN(I76-I78,MAX(0,I79)*Controls!$D$31)</f>
        <v>8.26314382183364</v>
      </c>
    </row>
    <row r="81" customFormat="false" ht="15" hidden="false" customHeight="false" outlineLevel="0" collapsed="false">
      <c r="C81" s="10" t="s">
        <v>199</v>
      </c>
      <c r="E81" s="38" t="n">
        <f aca="false">E76-E78-E80</f>
        <v>52.434454375</v>
      </c>
      <c r="F81" s="38" t="n">
        <f aca="false">F76-F78-F80</f>
        <v>46.4429555964844</v>
      </c>
      <c r="G81" s="38" t="n">
        <f aca="false">G76-G78-G80</f>
        <v>38.5704228101775</v>
      </c>
      <c r="H81" s="38" t="n">
        <f aca="false">H76-H78-H80</f>
        <v>29.033842083991</v>
      </c>
      <c r="I81" s="38" t="n">
        <f aca="false">I76-I78-I80</f>
        <v>17.9706982621574</v>
      </c>
    </row>
    <row r="82" customFormat="false" ht="15" hidden="false" customHeight="false" outlineLevel="0" collapsed="false">
      <c r="E82" s="38" t="n">
        <f aca="false">E79-E80</f>
        <v>0.255181875</v>
      </c>
      <c r="F82" s="38" t="n">
        <f aca="false">F79-F80</f>
        <v>1.06383292617188</v>
      </c>
      <c r="G82" s="38" t="n">
        <f aca="false">G79-G80</f>
        <v>1.6908442621023</v>
      </c>
      <c r="H82" s="38" t="n">
        <f aca="false">H79-H80</f>
        <v>2.24552690872883</v>
      </c>
      <c r="I82" s="38" t="n">
        <f aca="false">I79-I80</f>
        <v>2.75438127394455</v>
      </c>
    </row>
    <row r="83" customFormat="false" ht="15" hidden="false" customHeight="false" outlineLevel="0" collapsed="false">
      <c r="E83" s="38" t="n">
        <f aca="false">E81-E82</f>
        <v>52.1792725</v>
      </c>
      <c r="F83" s="38" t="n">
        <f aca="false">F81-F82</f>
        <v>45.3791226703125</v>
      </c>
      <c r="G83" s="38" t="n">
        <f aca="false">G81-G82</f>
        <v>36.8795785480752</v>
      </c>
      <c r="H83" s="38" t="n">
        <f aca="false">H81-H82</f>
        <v>26.7883151752622</v>
      </c>
      <c r="I83" s="38" t="n">
        <f aca="false">I81-I82</f>
        <v>15.2163169882128</v>
      </c>
    </row>
    <row r="84" customFormat="false" ht="15" hidden="false" customHeight="false" outlineLevel="0" collapsed="false">
      <c r="C84" s="5" t="s">
        <v>236</v>
      </c>
      <c r="D84" s="26" t="n">
        <v>0.8</v>
      </c>
      <c r="E84" s="28" t="n">
        <v>1</v>
      </c>
      <c r="F84" s="28" t="n">
        <v>2</v>
      </c>
      <c r="G84" s="28" t="n">
        <v>3</v>
      </c>
      <c r="H84" s="28" t="n">
        <v>4</v>
      </c>
      <c r="I84" s="28" t="n">
        <v>5</v>
      </c>
    </row>
    <row r="85" customFormat="false" ht="15" hidden="false" customHeight="false" outlineLevel="0" collapsed="false">
      <c r="C85" s="10" t="s">
        <v>230</v>
      </c>
      <c r="E85" s="16" t="n">
        <f aca="false">'Operating Model'!D35-'Operating Model'!D29+'Operating Model'!D28*$D84</f>
        <v>14.15554</v>
      </c>
      <c r="F85" s="16" t="n">
        <f aca="false">'Operating Model'!E35-'Operating Model'!E29+'Operating Model'!E28*$D84</f>
        <v>18.076488</v>
      </c>
      <c r="G85" s="16" t="n">
        <f aca="false">'Operating Model'!F35-'Operating Model'!F29+'Operating Model'!F28*$D84</f>
        <v>19.9992405</v>
      </c>
      <c r="H85" s="16" t="n">
        <f aca="false">'Operating Model'!G35-'Operating Model'!G29+'Operating Model'!G28*$D84</f>
        <v>21.5835545</v>
      </c>
      <c r="I85" s="16" t="n">
        <f aca="false">'Operating Model'!H35-'Operating Model'!H29+'Operating Model'!H28*$D84</f>
        <v>22.847082821375</v>
      </c>
    </row>
    <row r="86" customFormat="false" ht="15" hidden="false" customHeight="false" outlineLevel="0" collapsed="false">
      <c r="C86" s="10" t="s">
        <v>186</v>
      </c>
      <c r="E86" s="16" t="n">
        <f aca="false">'Operating Model'!D9*Controls!$D$27</f>
        <v>2.65</v>
      </c>
      <c r="F86" s="16" t="n">
        <f aca="false">'Operating Model'!E9*Controls!$D$27</f>
        <v>2.809</v>
      </c>
      <c r="G86" s="16" t="n">
        <f aca="false">'Operating Model'!F9*Controls!$D$27</f>
        <v>2.963495</v>
      </c>
      <c r="H86" s="16" t="n">
        <f aca="false">'Operating Model'!G9*Controls!$D$27</f>
        <v>3.11166975</v>
      </c>
      <c r="I86" s="16" t="n">
        <f aca="false">'Operating Model'!H9*Controls!$D$27</f>
        <v>3.25169488875</v>
      </c>
    </row>
    <row r="87" customFormat="false" ht="15" hidden="false" customHeight="false" outlineLevel="0" collapsed="false">
      <c r="C87" s="10" t="s">
        <v>231</v>
      </c>
      <c r="E87" s="16" t="n">
        <f aca="false">Returns!$D$15*Controls!$D$26</f>
        <v>5.04</v>
      </c>
      <c r="F87" s="16" t="n">
        <f aca="false">E97*Controls!$D$26</f>
        <v>4.7178570375</v>
      </c>
      <c r="G87" s="16" t="n">
        <f aca="false">F97*Controls!$D$26</f>
        <v>4.17551172939844</v>
      </c>
      <c r="H87" s="16" t="n">
        <f aca="false">G97*Controls!$D$26</f>
        <v>3.46225417023634</v>
      </c>
      <c r="I87" s="16" t="n">
        <f aca="false">H97*Controls!$D$26</f>
        <v>2.59809051997028</v>
      </c>
    </row>
    <row r="88" customFormat="false" ht="15" hidden="false" customHeight="false" outlineLevel="0" collapsed="false">
      <c r="C88" s="10" t="s">
        <v>232</v>
      </c>
      <c r="E88" s="16" t="n">
        <f aca="false">MAX(0,E85-E86-E87)*Controls!$D$25</f>
        <v>1.616385</v>
      </c>
      <c r="F88" s="16" t="n">
        <f aca="false">MAX(0,F85-F86-F87)*Controls!$D$25</f>
        <v>2.637407740625</v>
      </c>
      <c r="G88" s="16" t="n">
        <f aca="false">MAX(0,G85-G86-G87)*Controls!$D$25</f>
        <v>3.21505844265039</v>
      </c>
      <c r="H88" s="16" t="n">
        <f aca="false">MAX(0,H85-H86-H87)*Controls!$D$25</f>
        <v>3.75240764494091</v>
      </c>
      <c r="I88" s="16" t="n">
        <f aca="false">MAX(0,I85-I86-I87)*Controls!$D$25</f>
        <v>4.24932435316368</v>
      </c>
    </row>
    <row r="89" customFormat="false" ht="15" hidden="false" customHeight="false" outlineLevel="0" collapsed="false">
      <c r="C89" s="10" t="s">
        <v>192</v>
      </c>
      <c r="E89" s="16" t="n">
        <f aca="false">'Operating Model'!D9*Controls!$D$28</f>
        <v>3.18</v>
      </c>
      <c r="F89" s="16" t="n">
        <f aca="false">'Operating Model'!E9*Controls!$D$28</f>
        <v>3.3708</v>
      </c>
      <c r="G89" s="16" t="n">
        <f aca="false">'Operating Model'!F9*Controls!$D$28</f>
        <v>3.556194</v>
      </c>
      <c r="H89" s="16" t="n">
        <f aca="false">'Operating Model'!G9*Controls!$D$28</f>
        <v>3.7340037</v>
      </c>
      <c r="I89" s="16" t="n">
        <f aca="false">'Operating Model'!H9*Controls!$D$28</f>
        <v>3.9020338665</v>
      </c>
    </row>
    <row r="90" customFormat="false" ht="15" hidden="false" customHeight="false" outlineLevel="0" collapsed="false">
      <c r="C90" s="10" t="s">
        <v>193</v>
      </c>
      <c r="E90" s="16" t="n">
        <f aca="false">MAX(0,('Operating Model'!D9-'Historical &amp; Baseline'!$F$7)*Controls!$D$29)</f>
        <v>0.48</v>
      </c>
      <c r="F90" s="16" t="n">
        <f aca="false">MAX(0,('Operating Model'!E9-'Operating Model'!D9)*Controls!$D$29)</f>
        <v>0.5088</v>
      </c>
      <c r="G90" s="16" t="n">
        <f aca="false">MAX(0,('Operating Model'!F9-'Operating Model'!E9)*Controls!$D$29)</f>
        <v>0.494383999999999</v>
      </c>
      <c r="H90" s="16" t="n">
        <f aca="false">MAX(0,('Operating Model'!G9-'Operating Model'!F9)*Controls!$D$29)</f>
        <v>0.4741592</v>
      </c>
      <c r="I90" s="16" t="n">
        <f aca="false">MAX(0,('Operating Model'!H9-'Operating Model'!G9)*Controls!$D$29)</f>
        <v>0.448080443999999</v>
      </c>
    </row>
    <row r="91" customFormat="false" ht="15" hidden="false" customHeight="false" outlineLevel="0" collapsed="false">
      <c r="C91" s="10" t="s">
        <v>194</v>
      </c>
      <c r="E91" s="38" t="n">
        <f aca="false">E85-E88-E87-E89-E90</f>
        <v>3.839155</v>
      </c>
      <c r="F91" s="38" t="n">
        <f aca="false">F85-F88-F87-F89-F90</f>
        <v>6.841623221875</v>
      </c>
      <c r="G91" s="38" t="n">
        <f aca="false">G85-G88-G87-G89-G90</f>
        <v>8.55809232795118</v>
      </c>
      <c r="H91" s="38" t="n">
        <f aca="false">H85-H88-H87-H89-H90</f>
        <v>10.1607297848227</v>
      </c>
      <c r="I91" s="38" t="n">
        <f aca="false">I85-I88-I87-I89-I90</f>
        <v>11.649553637741</v>
      </c>
    </row>
    <row r="92" customFormat="false" ht="15" hidden="false" customHeight="false" outlineLevel="0" collapsed="false">
      <c r="C92" s="10" t="s">
        <v>233</v>
      </c>
      <c r="E92" s="16" t="n">
        <f aca="false">Returns!$D$15</f>
        <v>56</v>
      </c>
      <c r="F92" s="38" t="n">
        <f aca="false">E97</f>
        <v>52.42063375</v>
      </c>
      <c r="G92" s="38" t="n">
        <f aca="false">F97</f>
        <v>46.3945747710938</v>
      </c>
      <c r="H92" s="38" t="n">
        <f aca="false">G97</f>
        <v>38.4694907804038</v>
      </c>
      <c r="I92" s="38" t="n">
        <f aca="false">H97</f>
        <v>28.8676724441143</v>
      </c>
    </row>
    <row r="93" customFormat="false" ht="15" hidden="false" customHeight="false" outlineLevel="0" collapsed="false">
      <c r="C93" s="10" t="s">
        <v>195</v>
      </c>
      <c r="E93" s="16" t="n">
        <f aca="false">Controls!$D$33</f>
        <v>0</v>
      </c>
      <c r="F93" s="38" t="n">
        <f aca="false">E98</f>
        <v>0.25978875</v>
      </c>
      <c r="G93" s="38" t="n">
        <f aca="false">F98</f>
        <v>1.07535299296875</v>
      </c>
      <c r="H93" s="38" t="n">
        <f aca="false">G98</f>
        <v>1.70836133022998</v>
      </c>
      <c r="I93" s="38" t="n">
        <f aca="false">H98</f>
        <v>2.26727277876318</v>
      </c>
    </row>
    <row r="94" customFormat="false" ht="15" hidden="false" customHeight="false" outlineLevel="0" collapsed="false">
      <c r="C94" s="10" t="s">
        <v>196</v>
      </c>
      <c r="E94" s="16" t="n">
        <f aca="false">MIN(E92,Returns!$D$15*Controls!$D$30)</f>
        <v>2.8</v>
      </c>
      <c r="F94" s="16" t="n">
        <f aca="false">MIN(F92,Returns!$D$15*Controls!$D$30)</f>
        <v>2.8</v>
      </c>
      <c r="G94" s="16" t="n">
        <f aca="false">MIN(G92,Returns!$D$15*Controls!$D$30)</f>
        <v>2.8</v>
      </c>
      <c r="H94" s="16" t="n">
        <f aca="false">MIN(H92,Returns!$D$15*Controls!$D$30)</f>
        <v>2.8</v>
      </c>
      <c r="I94" s="16" t="n">
        <f aca="false">MIN(I92,Returns!$D$15*Controls!$D$30)</f>
        <v>2.8</v>
      </c>
    </row>
    <row r="95" customFormat="false" ht="15" hidden="false" customHeight="false" outlineLevel="0" collapsed="false">
      <c r="C95" s="10" t="s">
        <v>197</v>
      </c>
      <c r="E95" s="38" t="n">
        <f aca="false">E93+E91-E94</f>
        <v>1.039155</v>
      </c>
      <c r="F95" s="38" t="n">
        <f aca="false">F93+F91-F94</f>
        <v>4.301411971875</v>
      </c>
      <c r="G95" s="38" t="n">
        <f aca="false">G93+G91-G94</f>
        <v>6.83344532091993</v>
      </c>
      <c r="H95" s="38" t="n">
        <f aca="false">H93+H91-H94</f>
        <v>9.06909111505273</v>
      </c>
      <c r="I95" s="38" t="n">
        <f aca="false">I93+I91-I94</f>
        <v>11.1168264165042</v>
      </c>
    </row>
    <row r="96" customFormat="false" ht="15" hidden="false" customHeight="false" outlineLevel="0" collapsed="false">
      <c r="C96" s="10" t="s">
        <v>198</v>
      </c>
      <c r="E96" s="16" t="n">
        <f aca="false">MIN(E92-E94,MAX(0,E95)*Controls!$D$31)</f>
        <v>0.779366250000001</v>
      </c>
      <c r="F96" s="16" t="n">
        <f aca="false">MIN(F92-F94,MAX(0,F95)*Controls!$D$31)</f>
        <v>3.22605897890625</v>
      </c>
      <c r="G96" s="16" t="n">
        <f aca="false">MIN(G92-G94,MAX(0,G95)*Controls!$D$31)</f>
        <v>5.12508399068994</v>
      </c>
      <c r="H96" s="16" t="n">
        <f aca="false">MIN(H92-H94,MAX(0,H95)*Controls!$D$31)</f>
        <v>6.80181833628955</v>
      </c>
      <c r="I96" s="16" t="n">
        <f aca="false">MIN(I92-I94,MAX(0,I95)*Controls!$D$31)</f>
        <v>8.33761981237817</v>
      </c>
    </row>
    <row r="97" customFormat="false" ht="15" hidden="false" customHeight="false" outlineLevel="0" collapsed="false">
      <c r="C97" s="10" t="s">
        <v>199</v>
      </c>
      <c r="E97" s="38" t="n">
        <f aca="false">E92-E94-E96</f>
        <v>52.42063375</v>
      </c>
      <c r="F97" s="38" t="n">
        <f aca="false">F92-F94-F96</f>
        <v>46.3945747710938</v>
      </c>
      <c r="G97" s="38" t="n">
        <f aca="false">G92-G94-G96</f>
        <v>38.4694907804038</v>
      </c>
      <c r="H97" s="38" t="n">
        <f aca="false">H92-H94-H96</f>
        <v>28.8676724441143</v>
      </c>
      <c r="I97" s="38" t="n">
        <f aca="false">I92-I94-I96</f>
        <v>17.7300526317361</v>
      </c>
    </row>
    <row r="98" customFormat="false" ht="15" hidden="false" customHeight="false" outlineLevel="0" collapsed="false">
      <c r="E98" s="38" t="n">
        <f aca="false">E95-E96</f>
        <v>0.25978875</v>
      </c>
      <c r="F98" s="38" t="n">
        <f aca="false">F95-F96</f>
        <v>1.07535299296875</v>
      </c>
      <c r="G98" s="38" t="n">
        <f aca="false">G95-G96</f>
        <v>1.70836133022998</v>
      </c>
      <c r="H98" s="38" t="n">
        <f aca="false">H95-H96</f>
        <v>2.26727277876318</v>
      </c>
      <c r="I98" s="38" t="n">
        <f aca="false">I95-I96</f>
        <v>2.77920660412606</v>
      </c>
    </row>
    <row r="99" customFormat="false" ht="15" hidden="false" customHeight="false" outlineLevel="0" collapsed="false">
      <c r="E99" s="38" t="n">
        <f aca="false">E97-E98</f>
        <v>52.160845</v>
      </c>
      <c r="F99" s="38" t="n">
        <f aca="false">F97-F98</f>
        <v>45.319221778125</v>
      </c>
      <c r="G99" s="38" t="n">
        <f aca="false">G97-G98</f>
        <v>36.7611294501738</v>
      </c>
      <c r="H99" s="38" t="n">
        <f aca="false">H97-H98</f>
        <v>26.6003996653511</v>
      </c>
      <c r="I99" s="38" t="n">
        <f aca="false">I97-I98</f>
        <v>14.95084602761</v>
      </c>
    </row>
    <row r="100" customFormat="false" ht="15" hidden="false" customHeight="false" outlineLevel="0" collapsed="false">
      <c r="C100" s="5" t="s">
        <v>237</v>
      </c>
      <c r="D100" s="26" t="n">
        <v>1</v>
      </c>
      <c r="E100" s="28" t="n">
        <v>1</v>
      </c>
      <c r="F100" s="28" t="n">
        <v>2</v>
      </c>
      <c r="G100" s="28" t="n">
        <v>3</v>
      </c>
      <c r="H100" s="28" t="n">
        <v>4</v>
      </c>
      <c r="I100" s="28" t="n">
        <v>5</v>
      </c>
    </row>
    <row r="101" customFormat="false" ht="15" hidden="false" customHeight="false" outlineLevel="0" collapsed="false">
      <c r="C101" s="10" t="s">
        <v>230</v>
      </c>
      <c r="E101" s="16" t="n">
        <f aca="false">'Operating Model'!D35-'Operating Model'!D29+'Operating Model'!D28*$D100</f>
        <v>14.1883</v>
      </c>
      <c r="F101" s="16" t="n">
        <f aca="false">'Operating Model'!E35-'Operating Model'!E29+'Operating Model'!E28*$D100</f>
        <v>18.14856</v>
      </c>
      <c r="G101" s="16" t="n">
        <f aca="false">'Operating Model'!F35-'Operating Model'!F29+'Operating Model'!F28*$D100</f>
        <v>20.0975205</v>
      </c>
      <c r="H101" s="16" t="n">
        <f aca="false">'Operating Model'!G35-'Operating Model'!G29+'Operating Model'!G28*$D100</f>
        <v>21.6949385</v>
      </c>
      <c r="I101" s="16" t="n">
        <f aca="false">'Operating Model'!H35-'Operating Model'!H29+'Operating Model'!H28*$D100</f>
        <v>22.965018821375</v>
      </c>
    </row>
    <row r="102" customFormat="false" ht="15" hidden="false" customHeight="false" outlineLevel="0" collapsed="false">
      <c r="C102" s="10" t="s">
        <v>186</v>
      </c>
      <c r="E102" s="16" t="n">
        <f aca="false">'Operating Model'!D9*Controls!$D$27</f>
        <v>2.65</v>
      </c>
      <c r="F102" s="16" t="n">
        <f aca="false">'Operating Model'!E9*Controls!$D$27</f>
        <v>2.809</v>
      </c>
      <c r="G102" s="16" t="n">
        <f aca="false">'Operating Model'!F9*Controls!$D$27</f>
        <v>2.963495</v>
      </c>
      <c r="H102" s="16" t="n">
        <f aca="false">'Operating Model'!G9*Controls!$D$27</f>
        <v>3.11166975</v>
      </c>
      <c r="I102" s="16" t="n">
        <f aca="false">'Operating Model'!H9*Controls!$D$27</f>
        <v>3.25169488875</v>
      </c>
    </row>
    <row r="103" customFormat="false" ht="15" hidden="false" customHeight="false" outlineLevel="0" collapsed="false">
      <c r="C103" s="10" t="s">
        <v>231</v>
      </c>
      <c r="E103" s="16" t="n">
        <f aca="false">Returns!$D$15*Controls!$D$26</f>
        <v>5.04</v>
      </c>
      <c r="F103" s="16" t="n">
        <f aca="false">E113*Controls!$D$26</f>
        <v>4.7161985625</v>
      </c>
      <c r="G103" s="16" t="n">
        <f aca="false">F113*Controls!$D$26</f>
        <v>4.16970603035156</v>
      </c>
      <c r="H103" s="16" t="n">
        <f aca="false">G113*Controls!$D$26</f>
        <v>3.4501423266635</v>
      </c>
      <c r="I103" s="16" t="n">
        <f aca="false">H113*Controls!$D$26</f>
        <v>2.57815016318508</v>
      </c>
    </row>
    <row r="104" customFormat="false" ht="15" hidden="false" customHeight="false" outlineLevel="0" collapsed="false">
      <c r="C104" s="10" t="s">
        <v>232</v>
      </c>
      <c r="E104" s="16" t="n">
        <f aca="false">MAX(0,E101-E102-E103)*Controls!$D$25</f>
        <v>1.624575</v>
      </c>
      <c r="F104" s="16" t="n">
        <f aca="false">MAX(0,F101-F102-F103)*Controls!$D$25</f>
        <v>2.655840359375</v>
      </c>
      <c r="G104" s="16" t="n">
        <f aca="false">MAX(0,G101-G102-G103)*Controls!$D$25</f>
        <v>3.24107986741211</v>
      </c>
      <c r="H104" s="16" t="n">
        <f aca="false">MAX(0,H101-H102-H103)*Controls!$D$25</f>
        <v>3.78328160583413</v>
      </c>
      <c r="I104" s="16" t="n">
        <f aca="false">MAX(0,I101-I102-I103)*Controls!$D$25</f>
        <v>4.28379344235998</v>
      </c>
    </row>
    <row r="105" customFormat="false" ht="15" hidden="false" customHeight="false" outlineLevel="0" collapsed="false">
      <c r="C105" s="10" t="s">
        <v>192</v>
      </c>
      <c r="E105" s="16" t="n">
        <f aca="false">'Operating Model'!D9*Controls!$D$28</f>
        <v>3.18</v>
      </c>
      <c r="F105" s="16" t="n">
        <f aca="false">'Operating Model'!E9*Controls!$D$28</f>
        <v>3.3708</v>
      </c>
      <c r="G105" s="16" t="n">
        <f aca="false">'Operating Model'!F9*Controls!$D$28</f>
        <v>3.556194</v>
      </c>
      <c r="H105" s="16" t="n">
        <f aca="false">'Operating Model'!G9*Controls!$D$28</f>
        <v>3.7340037</v>
      </c>
      <c r="I105" s="16" t="n">
        <f aca="false">'Operating Model'!H9*Controls!$D$28</f>
        <v>3.9020338665</v>
      </c>
    </row>
    <row r="106" customFormat="false" ht="15" hidden="false" customHeight="false" outlineLevel="0" collapsed="false">
      <c r="C106" s="10" t="s">
        <v>193</v>
      </c>
      <c r="E106" s="16" t="n">
        <f aca="false">MAX(0,('Operating Model'!D9-'Historical &amp; Baseline'!$F$7)*Controls!$D$29)</f>
        <v>0.48</v>
      </c>
      <c r="F106" s="16" t="n">
        <f aca="false">MAX(0,('Operating Model'!E9-'Operating Model'!D9)*Controls!$D$29)</f>
        <v>0.5088</v>
      </c>
      <c r="G106" s="16" t="n">
        <f aca="false">MAX(0,('Operating Model'!F9-'Operating Model'!E9)*Controls!$D$29)</f>
        <v>0.494383999999999</v>
      </c>
      <c r="H106" s="16" t="n">
        <f aca="false">MAX(0,('Operating Model'!G9-'Operating Model'!F9)*Controls!$D$29)</f>
        <v>0.4741592</v>
      </c>
      <c r="I106" s="16" t="n">
        <f aca="false">MAX(0,('Operating Model'!H9-'Operating Model'!G9)*Controls!$D$29)</f>
        <v>0.448080443999999</v>
      </c>
    </row>
    <row r="107" customFormat="false" ht="15" hidden="false" customHeight="false" outlineLevel="0" collapsed="false">
      <c r="C107" s="10" t="s">
        <v>194</v>
      </c>
      <c r="E107" s="38" t="n">
        <f aca="false">E101-E104-E103-E105-E106</f>
        <v>3.863725</v>
      </c>
      <c r="F107" s="38" t="n">
        <f aca="false">F101-F104-F103-F105-F106</f>
        <v>6.896921078125</v>
      </c>
      <c r="G107" s="38" t="n">
        <f aca="false">G101-G104-G103-G105-G106</f>
        <v>8.63615660223633</v>
      </c>
      <c r="H107" s="38" t="n">
        <f aca="false">H101-H104-H103-H105-H106</f>
        <v>10.2533516675024</v>
      </c>
      <c r="I107" s="38" t="n">
        <f aca="false">I101-I104-I103-I105-I106</f>
        <v>11.7529609053299</v>
      </c>
    </row>
    <row r="108" customFormat="false" ht="15" hidden="false" customHeight="false" outlineLevel="0" collapsed="false">
      <c r="C108" s="10" t="s">
        <v>233</v>
      </c>
      <c r="E108" s="16" t="n">
        <f aca="false">Returns!$D$15</f>
        <v>56</v>
      </c>
      <c r="F108" s="38" t="n">
        <f aca="false">E113</f>
        <v>52.40220625</v>
      </c>
      <c r="G108" s="38" t="n">
        <f aca="false">F113</f>
        <v>46.3300670039063</v>
      </c>
      <c r="H108" s="38" t="n">
        <f aca="false">G113</f>
        <v>38.3349147407056</v>
      </c>
      <c r="I108" s="38" t="n">
        <f aca="false">H113</f>
        <v>28.6461129242786</v>
      </c>
    </row>
    <row r="109" customFormat="false" ht="15" hidden="false" customHeight="false" outlineLevel="0" collapsed="false">
      <c r="C109" s="10" t="s">
        <v>195</v>
      </c>
      <c r="E109" s="16" t="n">
        <f aca="false">Controls!$D$33</f>
        <v>0</v>
      </c>
      <c r="F109" s="38" t="n">
        <f aca="false">E114</f>
        <v>0.26593125</v>
      </c>
      <c r="G109" s="38" t="n">
        <f aca="false">F114</f>
        <v>1.09071308203125</v>
      </c>
      <c r="H109" s="38" t="n">
        <f aca="false">G114</f>
        <v>1.73171742106689</v>
      </c>
      <c r="I109" s="38" t="n">
        <f aca="false">H114</f>
        <v>2.29626727214232</v>
      </c>
    </row>
    <row r="110" customFormat="false" ht="15" hidden="false" customHeight="false" outlineLevel="0" collapsed="false">
      <c r="C110" s="10" t="s">
        <v>196</v>
      </c>
      <c r="E110" s="16" t="n">
        <f aca="false">MIN(E108,Returns!$D$15*Controls!$D$30)</f>
        <v>2.8</v>
      </c>
      <c r="F110" s="16" t="n">
        <f aca="false">MIN(F108,Returns!$D$15*Controls!$D$30)</f>
        <v>2.8</v>
      </c>
      <c r="G110" s="16" t="n">
        <f aca="false">MIN(G108,Returns!$D$15*Controls!$D$30)</f>
        <v>2.8</v>
      </c>
      <c r="H110" s="16" t="n">
        <f aca="false">MIN(H108,Returns!$D$15*Controls!$D$30)</f>
        <v>2.8</v>
      </c>
      <c r="I110" s="16" t="n">
        <f aca="false">MIN(I108,Returns!$D$15*Controls!$D$30)</f>
        <v>2.8</v>
      </c>
    </row>
    <row r="111" customFormat="false" ht="15" hidden="false" customHeight="false" outlineLevel="0" collapsed="false">
      <c r="C111" s="10" t="s">
        <v>197</v>
      </c>
      <c r="E111" s="38" t="n">
        <f aca="false">E109+E107-E110</f>
        <v>1.063725</v>
      </c>
      <c r="F111" s="38" t="n">
        <f aca="false">F109+F107-F110</f>
        <v>4.362852328125</v>
      </c>
      <c r="G111" s="38" t="n">
        <f aca="false">G109+G107-G110</f>
        <v>6.92686968426758</v>
      </c>
      <c r="H111" s="38" t="n">
        <f aca="false">H109+H107-H110</f>
        <v>9.18506908856927</v>
      </c>
      <c r="I111" s="38" t="n">
        <f aca="false">I109+I107-I110</f>
        <v>11.2492281774723</v>
      </c>
    </row>
    <row r="112" customFormat="false" ht="15" hidden="false" customHeight="false" outlineLevel="0" collapsed="false">
      <c r="C112" s="10" t="s">
        <v>198</v>
      </c>
      <c r="E112" s="16" t="n">
        <f aca="false">MIN(E108-E110,MAX(0,E111)*Controls!$D$31)</f>
        <v>0.797793750000001</v>
      </c>
      <c r="F112" s="16" t="n">
        <f aca="false">MIN(F108-F110,MAX(0,F111)*Controls!$D$31)</f>
        <v>3.27213924609375</v>
      </c>
      <c r="G112" s="16" t="n">
        <f aca="false">MIN(G108-G110,MAX(0,G111)*Controls!$D$31)</f>
        <v>5.19515226320069</v>
      </c>
      <c r="H112" s="16" t="n">
        <f aca="false">MIN(H108-H110,MAX(0,H111)*Controls!$D$31)</f>
        <v>6.88880181642695</v>
      </c>
      <c r="I112" s="16" t="n">
        <f aca="false">MIN(I108-I110,MAX(0,I111)*Controls!$D$31)</f>
        <v>8.4369211331042</v>
      </c>
    </row>
    <row r="113" customFormat="false" ht="15" hidden="false" customHeight="false" outlineLevel="0" collapsed="false">
      <c r="C113" s="10" t="s">
        <v>199</v>
      </c>
      <c r="E113" s="38" t="n">
        <f aca="false">E108-E110-E112</f>
        <v>52.40220625</v>
      </c>
      <c r="F113" s="38" t="n">
        <f aca="false">F108-F110-F112</f>
        <v>46.3300670039063</v>
      </c>
      <c r="G113" s="38" t="n">
        <f aca="false">G108-G110-G112</f>
        <v>38.3349147407056</v>
      </c>
      <c r="H113" s="38" t="n">
        <f aca="false">H108-H110-H112</f>
        <v>28.6461129242786</v>
      </c>
      <c r="I113" s="38" t="n">
        <f aca="false">I108-I110-I112</f>
        <v>17.4091917911744</v>
      </c>
    </row>
    <row r="114" customFormat="false" ht="15" hidden="false" customHeight="false" outlineLevel="0" collapsed="false">
      <c r="E114" s="38" t="n">
        <f aca="false">E111-E112</f>
        <v>0.26593125</v>
      </c>
      <c r="F114" s="38" t="n">
        <f aca="false">F111-F112</f>
        <v>1.09071308203125</v>
      </c>
      <c r="G114" s="38" t="n">
        <f aca="false">G111-G112</f>
        <v>1.73171742106689</v>
      </c>
      <c r="H114" s="38" t="n">
        <f aca="false">H111-H112</f>
        <v>2.29626727214232</v>
      </c>
      <c r="I114" s="38" t="n">
        <f aca="false">I111-I112</f>
        <v>2.81230704436807</v>
      </c>
    </row>
    <row r="115" customFormat="false" ht="15" hidden="false" customHeight="false" outlineLevel="0" collapsed="false">
      <c r="E115" s="38" t="n">
        <f aca="false">E113-E114</f>
        <v>52.136275</v>
      </c>
      <c r="F115" s="38" t="n">
        <f aca="false">F113-F114</f>
        <v>45.239353921875</v>
      </c>
      <c r="G115" s="38" t="n">
        <f aca="false">G113-G114</f>
        <v>36.6031973196387</v>
      </c>
      <c r="H115" s="38" t="n">
        <f aca="false">H113-H114</f>
        <v>26.3498456521363</v>
      </c>
      <c r="I115" s="38" t="n">
        <f aca="false">I113-I114</f>
        <v>14.5968847468064</v>
      </c>
    </row>
  </sheetData>
  <mergeCells count="5">
    <mergeCell ref="C3:K3"/>
    <mergeCell ref="C8:H8"/>
    <mergeCell ref="C16:H17"/>
    <mergeCell ref="C21:H21"/>
    <mergeCell ref="C29:H30"/>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Q6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6" ySplit="7" topLeftCell="G8" activePane="bottomRight" state="frozen"/>
      <selection pane="topLeft" activeCell="A1" activeCellId="0" sqref="A1"/>
      <selection pane="topRight" activeCell="G1" activeCellId="0" sqref="G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27"/>
    <col collapsed="false" customWidth="true" hidden="false" outlineLevel="0" max="4" min="4" style="0" width="14"/>
    <col collapsed="false" customWidth="true" hidden="false" outlineLevel="0" max="5" min="5" style="0" width="42"/>
    <col collapsed="false" customWidth="true" hidden="false" outlineLevel="0" max="6" min="6" style="0" width="36"/>
    <col collapsed="false" customWidth="true" hidden="false" outlineLevel="0" max="7" min="7" style="0" width="12"/>
    <col collapsed="false" customWidth="true" hidden="false" outlineLevel="0" max="8" min="8" style="0" width="14"/>
    <col collapsed="false" customWidth="true" hidden="false" outlineLevel="0" max="9" min="9" style="0" width="18"/>
    <col collapsed="false" customWidth="true" hidden="false" outlineLevel="0" max="10" min="10" style="0" width="12"/>
    <col collapsed="false" customWidth="true" hidden="false" outlineLevel="0" max="11" min="11" style="0" width="15"/>
    <col collapsed="false" customWidth="true" hidden="false" outlineLevel="0" max="12" min="12" style="0" width="12"/>
    <col collapsed="false" customWidth="true" hidden="false" outlineLevel="0" max="13" min="13" style="0" width="56"/>
    <col collapsed="false" customWidth="true" hidden="false" outlineLevel="0" max="14" min="14" style="0" width="15"/>
    <col collapsed="false" customWidth="true" hidden="false" outlineLevel="0" max="15" min="15" style="0" width="18"/>
    <col collapsed="false" customWidth="true" hidden="false" outlineLevel="0" max="16" min="16" style="0" width="12"/>
    <col collapsed="false" customWidth="true" hidden="false" outlineLevel="0" max="17" min="17" style="0" width="48"/>
  </cols>
  <sheetData>
    <row r="2" customFormat="false" ht="17.35" hidden="false" customHeight="false" outlineLevel="0" collapsed="false">
      <c r="C2" s="1" t="s">
        <v>238</v>
      </c>
    </row>
    <row r="3" customFormat="false" ht="30.75" hidden="false" customHeight="true" outlineLevel="0" collapsed="false">
      <c r="C3" s="2" t="s">
        <v>239</v>
      </c>
      <c r="D3" s="2"/>
      <c r="E3" s="2"/>
      <c r="F3" s="2"/>
      <c r="G3" s="2"/>
      <c r="H3" s="2"/>
      <c r="I3" s="2"/>
      <c r="J3" s="2"/>
      <c r="K3" s="2"/>
      <c r="L3" s="2"/>
      <c r="M3" s="2"/>
      <c r="N3" s="2"/>
      <c r="O3" s="2"/>
      <c r="P3" s="2"/>
      <c r="Q3" s="2"/>
    </row>
    <row r="4" customFormat="false" ht="15" hidden="false" customHeight="false" outlineLevel="0" collapsed="false">
      <c r="C4" s="3"/>
      <c r="D4" s="3"/>
      <c r="E4" s="3"/>
      <c r="F4" s="3"/>
      <c r="G4" s="3"/>
      <c r="H4" s="3"/>
      <c r="I4" s="3"/>
      <c r="J4" s="3"/>
      <c r="K4" s="3"/>
      <c r="L4" s="3"/>
      <c r="M4" s="3"/>
      <c r="N4" s="3"/>
      <c r="O4" s="3"/>
      <c r="P4" s="3"/>
      <c r="Q4" s="3"/>
    </row>
    <row r="5" customFormat="false" ht="24" hidden="false" customHeight="true" outlineLevel="0" collapsed="false">
      <c r="C5" s="32" t="s">
        <v>240</v>
      </c>
      <c r="D5" s="32"/>
      <c r="E5" s="32"/>
      <c r="F5" s="32"/>
      <c r="G5" s="32"/>
      <c r="H5" s="32"/>
      <c r="I5" s="32"/>
      <c r="J5" s="32"/>
      <c r="K5" s="32"/>
      <c r="L5" s="32"/>
      <c r="M5" s="32"/>
      <c r="N5" s="32"/>
      <c r="O5" s="32"/>
      <c r="P5" s="32"/>
      <c r="Q5" s="32"/>
    </row>
    <row r="6" customFormat="false" ht="24" hidden="false" customHeight="true" outlineLevel="0" collapsed="false">
      <c r="C6" s="32" t="s">
        <v>241</v>
      </c>
      <c r="D6" s="32"/>
      <c r="E6" s="32"/>
      <c r="F6" s="32"/>
      <c r="G6" s="32"/>
      <c r="H6" s="32"/>
      <c r="I6" s="32"/>
      <c r="J6" s="32"/>
      <c r="K6" s="32"/>
      <c r="L6" s="32"/>
      <c r="M6" s="32"/>
      <c r="N6" s="32"/>
      <c r="O6" s="32"/>
      <c r="P6" s="32"/>
      <c r="Q6" s="32"/>
    </row>
    <row r="7" customFormat="false" ht="30" hidden="false" customHeight="true" outlineLevel="0" collapsed="false">
      <c r="C7" s="21" t="s">
        <v>114</v>
      </c>
      <c r="D7" s="21" t="s">
        <v>242</v>
      </c>
      <c r="E7" s="21" t="s">
        <v>142</v>
      </c>
      <c r="F7" s="21" t="s">
        <v>141</v>
      </c>
      <c r="G7" s="21" t="s">
        <v>243</v>
      </c>
      <c r="H7" s="21" t="s">
        <v>244</v>
      </c>
      <c r="I7" s="21" t="s">
        <v>245</v>
      </c>
      <c r="J7" s="21" t="s">
        <v>246</v>
      </c>
      <c r="K7" s="21" t="s">
        <v>247</v>
      </c>
      <c r="L7" s="21" t="s">
        <v>248</v>
      </c>
      <c r="M7" s="21" t="s">
        <v>249</v>
      </c>
      <c r="N7" s="21" t="s">
        <v>250</v>
      </c>
      <c r="O7" s="21" t="s">
        <v>251</v>
      </c>
      <c r="P7" s="21" t="s">
        <v>252</v>
      </c>
      <c r="Q7" s="21" t="s">
        <v>253</v>
      </c>
    </row>
    <row r="8" customFormat="false" ht="15" hidden="false" customHeight="false" outlineLevel="0" collapsed="false">
      <c r="C8" s="10" t="s">
        <v>67</v>
      </c>
      <c r="D8" s="25" t="s">
        <v>254</v>
      </c>
      <c r="E8" s="25" t="s">
        <v>145</v>
      </c>
      <c r="F8" s="25" t="s">
        <v>255</v>
      </c>
      <c r="G8" s="35" t="n">
        <f aca="false">Initiatives!K7*N8</f>
        <v>0.075</v>
      </c>
      <c r="H8" s="45" t="n">
        <f aca="false">G8*O8</f>
        <v>0.07065</v>
      </c>
      <c r="I8" s="45" t="n">
        <f aca="false">H8-G8</f>
        <v>-0.00434999999999999</v>
      </c>
      <c r="J8" s="46" t="str">
        <f aca="false">IF(I8&gt;=Controls!$D$37,"Green",IF(I8&gt;=Controls!$D$38,"Amber","Red"))</f>
        <v>Green</v>
      </c>
      <c r="K8" s="10" t="s">
        <v>256</v>
      </c>
      <c r="L8" s="10" t="s">
        <v>256</v>
      </c>
      <c r="M8" s="10" t="s">
        <v>257</v>
      </c>
      <c r="N8" s="26" t="n">
        <v>0.25</v>
      </c>
      <c r="O8" s="26" t="n">
        <v>0.942</v>
      </c>
      <c r="P8" s="28" t="n">
        <v>1</v>
      </c>
      <c r="Q8" s="10" t="s">
        <v>258</v>
      </c>
    </row>
    <row r="9" customFormat="false" ht="15" hidden="false" customHeight="false" outlineLevel="0" collapsed="false">
      <c r="C9" s="10" t="s">
        <v>67</v>
      </c>
      <c r="D9" s="25" t="s">
        <v>259</v>
      </c>
      <c r="E9" s="25" t="s">
        <v>145</v>
      </c>
      <c r="F9" s="25" t="s">
        <v>255</v>
      </c>
      <c r="G9" s="35" t="n">
        <f aca="false">Initiatives!K7*N9</f>
        <v>0.15</v>
      </c>
      <c r="H9" s="45" t="n">
        <f aca="false">G9*O9</f>
        <v>0.14775</v>
      </c>
      <c r="I9" s="45" t="n">
        <f aca="false">H9-G9</f>
        <v>-0.00224999999999997</v>
      </c>
      <c r="J9" s="46" t="str">
        <f aca="false">IF(I9&gt;=Controls!$D$37,"Green",IF(I9&gt;=Controls!$D$38,"Amber","Red"))</f>
        <v>Green</v>
      </c>
      <c r="K9" s="10" t="s">
        <v>256</v>
      </c>
      <c r="L9" s="10" t="s">
        <v>256</v>
      </c>
      <c r="M9" s="10" t="s">
        <v>257</v>
      </c>
      <c r="N9" s="26" t="n">
        <v>0.5</v>
      </c>
      <c r="O9" s="26" t="n">
        <v>0.985</v>
      </c>
      <c r="P9" s="28" t="n">
        <v>1</v>
      </c>
      <c r="Q9" s="10" t="s">
        <v>258</v>
      </c>
    </row>
    <row r="10" customFormat="false" ht="15" hidden="false" customHeight="false" outlineLevel="0" collapsed="false">
      <c r="C10" s="10" t="s">
        <v>67</v>
      </c>
      <c r="D10" s="25" t="s">
        <v>260</v>
      </c>
      <c r="E10" s="25" t="s">
        <v>145</v>
      </c>
      <c r="F10" s="25" t="s">
        <v>255</v>
      </c>
      <c r="G10" s="35" t="n">
        <f aca="false">Initiatives!K7*N10</f>
        <v>0.225</v>
      </c>
      <c r="H10" s="45" t="n">
        <f aca="false">G10*O10</f>
        <v>0.22725</v>
      </c>
      <c r="I10" s="45" t="n">
        <f aca="false">H10-G10</f>
        <v>0.00225</v>
      </c>
      <c r="J10" s="46" t="str">
        <f aca="false">IF(I10&gt;=Controls!$D$37,"Green",IF(I10&gt;=Controls!$D$38,"Amber","Red"))</f>
        <v>Green</v>
      </c>
      <c r="K10" s="10" t="s">
        <v>256</v>
      </c>
      <c r="L10" s="10" t="s">
        <v>256</v>
      </c>
      <c r="M10" s="10" t="s">
        <v>257</v>
      </c>
      <c r="N10" s="26" t="n">
        <v>0.75</v>
      </c>
      <c r="O10" s="26" t="n">
        <v>1.01</v>
      </c>
      <c r="P10" s="28" t="n">
        <v>1</v>
      </c>
      <c r="Q10" s="10" t="s">
        <v>258</v>
      </c>
    </row>
    <row r="11" customFormat="false" ht="15" hidden="false" customHeight="false" outlineLevel="0" collapsed="false">
      <c r="C11" s="10" t="s">
        <v>67</v>
      </c>
      <c r="D11" s="25" t="s">
        <v>261</v>
      </c>
      <c r="E11" s="25" t="s">
        <v>145</v>
      </c>
      <c r="F11" s="25" t="s">
        <v>255</v>
      </c>
      <c r="G11" s="35" t="n">
        <f aca="false">Initiatives!K7*N11</f>
        <v>0.3</v>
      </c>
      <c r="H11" s="45" t="n">
        <f aca="false">G11*O11</f>
        <v>0.273</v>
      </c>
      <c r="I11" s="45" t="n">
        <f aca="false">H11-G11</f>
        <v>-0.027</v>
      </c>
      <c r="J11" s="46" t="str">
        <f aca="false">IF(I11&gt;=Controls!$D$37,"Green",IF(I11&gt;=Controls!$D$38,"Amber","Red"))</f>
        <v>Green</v>
      </c>
      <c r="K11" s="10" t="s">
        <v>256</v>
      </c>
      <c r="L11" s="10" t="s">
        <v>256</v>
      </c>
      <c r="M11" s="10" t="s">
        <v>257</v>
      </c>
      <c r="N11" s="26" t="n">
        <v>1</v>
      </c>
      <c r="O11" s="26" t="n">
        <v>0.91</v>
      </c>
      <c r="P11" s="28" t="n">
        <v>1</v>
      </c>
      <c r="Q11" s="10" t="s">
        <v>258</v>
      </c>
    </row>
    <row r="12" customFormat="false" ht="15" hidden="false" customHeight="false" outlineLevel="0" collapsed="false">
      <c r="C12" s="10" t="s">
        <v>67</v>
      </c>
      <c r="D12" s="25" t="s">
        <v>262</v>
      </c>
      <c r="E12" s="25" t="s">
        <v>145</v>
      </c>
      <c r="F12" s="25" t="s">
        <v>255</v>
      </c>
      <c r="G12" s="35" t="n">
        <f aca="false">Initiatives!K7+(Initiatives!L7-Initiatives!K7)*N12</f>
        <v>0.3875</v>
      </c>
      <c r="H12" s="45" t="n">
        <f aca="false">G12*O12</f>
        <v>0.3747125</v>
      </c>
      <c r="I12" s="45" t="n">
        <f aca="false">H12-G12</f>
        <v>-0.0127875</v>
      </c>
      <c r="J12" s="46" t="str">
        <f aca="false">IF(I12&gt;=Controls!$D$37,"Green",IF(I12&gt;=Controls!$D$38,"Amber","Red"))</f>
        <v>Green</v>
      </c>
      <c r="K12" s="10" t="s">
        <v>256</v>
      </c>
      <c r="L12" s="10" t="s">
        <v>256</v>
      </c>
      <c r="M12" s="10" t="s">
        <v>257</v>
      </c>
      <c r="N12" s="26" t="n">
        <v>0.25</v>
      </c>
      <c r="O12" s="26" t="n">
        <v>0.967</v>
      </c>
      <c r="P12" s="28" t="n">
        <v>2</v>
      </c>
      <c r="Q12" s="10" t="s">
        <v>258</v>
      </c>
    </row>
    <row r="13" customFormat="false" ht="15" hidden="false" customHeight="false" outlineLevel="0" collapsed="false">
      <c r="C13" s="10" t="s">
        <v>67</v>
      </c>
      <c r="D13" s="25" t="s">
        <v>263</v>
      </c>
      <c r="E13" s="25" t="s">
        <v>145</v>
      </c>
      <c r="F13" s="25" t="s">
        <v>255</v>
      </c>
      <c r="G13" s="35" t="n">
        <f aca="false">Initiatives!K7+(Initiatives!L7-Initiatives!K7)*N13</f>
        <v>0.475</v>
      </c>
      <c r="H13" s="45" t="n">
        <f aca="false">G13*O13</f>
        <v>0.47975</v>
      </c>
      <c r="I13" s="45" t="n">
        <f aca="false">H13-G13</f>
        <v>0.00474999999999998</v>
      </c>
      <c r="J13" s="46" t="str">
        <f aca="false">IF(I13&gt;=Controls!$D$37,"Green",IF(I13&gt;=Controls!$D$38,"Amber","Red"))</f>
        <v>Green</v>
      </c>
      <c r="K13" s="10" t="s">
        <v>256</v>
      </c>
      <c r="L13" s="10" t="s">
        <v>256</v>
      </c>
      <c r="M13" s="10" t="s">
        <v>257</v>
      </c>
      <c r="N13" s="26" t="n">
        <v>0.5</v>
      </c>
      <c r="O13" s="26" t="n">
        <v>1.01</v>
      </c>
      <c r="P13" s="28" t="n">
        <v>2</v>
      </c>
      <c r="Q13" s="10" t="s">
        <v>258</v>
      </c>
    </row>
    <row r="14" customFormat="false" ht="15" hidden="false" customHeight="false" outlineLevel="0" collapsed="false">
      <c r="C14" s="10" t="s">
        <v>67</v>
      </c>
      <c r="D14" s="25" t="s">
        <v>264</v>
      </c>
      <c r="E14" s="25" t="s">
        <v>145</v>
      </c>
      <c r="F14" s="25" t="s">
        <v>255</v>
      </c>
      <c r="G14" s="35" t="n">
        <f aca="false">Initiatives!K7+(Initiatives!L7-Initiatives!K7)*N14</f>
        <v>0.5625</v>
      </c>
      <c r="H14" s="45" t="n">
        <f aca="false">G14*O14</f>
        <v>0.511875</v>
      </c>
      <c r="I14" s="45" t="n">
        <f aca="false">H14-G14</f>
        <v>-0.050625</v>
      </c>
      <c r="J14" s="46" t="str">
        <f aca="false">IF(I14&gt;=Controls!$D$37,"Green",IF(I14&gt;=Controls!$D$38,"Amber","Red"))</f>
        <v>Amber</v>
      </c>
      <c r="K14" s="10" t="s">
        <v>256</v>
      </c>
      <c r="L14" s="10" t="s">
        <v>256</v>
      </c>
      <c r="M14" s="10" t="s">
        <v>257</v>
      </c>
      <c r="N14" s="26" t="n">
        <v>0.75</v>
      </c>
      <c r="O14" s="26" t="n">
        <v>0.91</v>
      </c>
      <c r="P14" s="28" t="n">
        <v>2</v>
      </c>
      <c r="Q14" s="10" t="s">
        <v>258</v>
      </c>
    </row>
    <row r="15" customFormat="false" ht="15" hidden="false" customHeight="false" outlineLevel="0" collapsed="false">
      <c r="C15" s="10" t="s">
        <v>67</v>
      </c>
      <c r="D15" s="25" t="s">
        <v>265</v>
      </c>
      <c r="E15" s="25" t="s">
        <v>145</v>
      </c>
      <c r="F15" s="25" t="s">
        <v>255</v>
      </c>
      <c r="G15" s="35" t="n">
        <f aca="false">Initiatives!K7+(Initiatives!L7-Initiatives!K7)*N15</f>
        <v>0.65</v>
      </c>
      <c r="H15" s="45" t="n">
        <f aca="false">G15*O15</f>
        <v>0.60775</v>
      </c>
      <c r="I15" s="45" t="n">
        <f aca="false">H15-G15</f>
        <v>-0.04225</v>
      </c>
      <c r="J15" s="46" t="str">
        <f aca="false">IF(I15&gt;=Controls!$D$37,"Green",IF(I15&gt;=Controls!$D$38,"Amber","Red"))</f>
        <v>Green</v>
      </c>
      <c r="K15" s="10" t="s">
        <v>256</v>
      </c>
      <c r="L15" s="10" t="s">
        <v>256</v>
      </c>
      <c r="M15" s="10" t="s">
        <v>257</v>
      </c>
      <c r="N15" s="26" t="n">
        <v>1</v>
      </c>
      <c r="O15" s="26" t="n">
        <v>0.935</v>
      </c>
      <c r="P15" s="28" t="n">
        <v>2</v>
      </c>
      <c r="Q15" s="10" t="s">
        <v>258</v>
      </c>
    </row>
    <row r="16" customFormat="false" ht="15" hidden="false" customHeight="false" outlineLevel="0" collapsed="false">
      <c r="C16" s="10" t="s">
        <v>67</v>
      </c>
      <c r="D16" s="25" t="s">
        <v>266</v>
      </c>
      <c r="E16" s="25" t="s">
        <v>145</v>
      </c>
      <c r="F16" s="25" t="s">
        <v>255</v>
      </c>
      <c r="G16" s="35" t="n">
        <f aca="false">Initiatives!L7+(Initiatives!M7-Initiatives!L7)*N16</f>
        <v>0.7</v>
      </c>
      <c r="H16" s="45" t="n">
        <f aca="false">G16*O16</f>
        <v>0.6944</v>
      </c>
      <c r="I16" s="45" t="n">
        <f aca="false">H16-G16</f>
        <v>-0.00560000000000005</v>
      </c>
      <c r="J16" s="46" t="str">
        <f aca="false">IF(I16&gt;=Controls!$D$37,"Green",IF(I16&gt;=Controls!$D$38,"Amber","Red"))</f>
        <v>Green</v>
      </c>
      <c r="K16" s="10" t="s">
        <v>256</v>
      </c>
      <c r="L16" s="10" t="s">
        <v>256</v>
      </c>
      <c r="M16" s="10" t="s">
        <v>257</v>
      </c>
      <c r="N16" s="26" t="n">
        <v>0.25</v>
      </c>
      <c r="O16" s="26" t="n">
        <v>0.992</v>
      </c>
      <c r="P16" s="28" t="n">
        <v>3</v>
      </c>
      <c r="Q16" s="10" t="s">
        <v>258</v>
      </c>
    </row>
    <row r="17" customFormat="false" ht="15" hidden="false" customHeight="false" outlineLevel="0" collapsed="false">
      <c r="C17" s="10" t="s">
        <v>67</v>
      </c>
      <c r="D17" s="25" t="s">
        <v>267</v>
      </c>
      <c r="E17" s="25" t="s">
        <v>145</v>
      </c>
      <c r="F17" s="25" t="s">
        <v>255</v>
      </c>
      <c r="G17" s="35" t="n">
        <f aca="false">Initiatives!L7+(Initiatives!M7-Initiatives!L7)*N17</f>
        <v>0.75</v>
      </c>
      <c r="H17" s="45" t="n">
        <f aca="false">G17*O17</f>
        <v>0.6825</v>
      </c>
      <c r="I17" s="45" t="n">
        <f aca="false">H17-G17</f>
        <v>-0.0675</v>
      </c>
      <c r="J17" s="46" t="str">
        <f aca="false">IF(I17&gt;=Controls!$D$37,"Green",IF(I17&gt;=Controls!$D$38,"Amber","Red"))</f>
        <v>Amber</v>
      </c>
      <c r="K17" s="10" t="s">
        <v>256</v>
      </c>
      <c r="L17" s="10" t="s">
        <v>256</v>
      </c>
      <c r="M17" s="10" t="s">
        <v>257</v>
      </c>
      <c r="N17" s="26" t="n">
        <v>0.5</v>
      </c>
      <c r="O17" s="26" t="n">
        <v>0.91</v>
      </c>
      <c r="P17" s="28" t="n">
        <v>3</v>
      </c>
      <c r="Q17" s="10" t="s">
        <v>258</v>
      </c>
    </row>
    <row r="18" customFormat="false" ht="15" hidden="false" customHeight="false" outlineLevel="0" collapsed="false">
      <c r="C18" s="10" t="s">
        <v>67</v>
      </c>
      <c r="D18" s="25" t="s">
        <v>268</v>
      </c>
      <c r="E18" s="25" t="s">
        <v>145</v>
      </c>
      <c r="F18" s="25" t="s">
        <v>255</v>
      </c>
      <c r="G18" s="35" t="n">
        <f aca="false">Initiatives!L7+(Initiatives!M7-Initiatives!L7)*N18</f>
        <v>0.8</v>
      </c>
      <c r="H18" s="45" t="n">
        <f aca="false">G18*O18</f>
        <v>0.748</v>
      </c>
      <c r="I18" s="45" t="n">
        <f aca="false">H18-G18</f>
        <v>-0.0519999999999999</v>
      </c>
      <c r="J18" s="46" t="str">
        <f aca="false">IF(I18&gt;=Controls!$D$37,"Green",IF(I18&gt;=Controls!$D$38,"Amber","Red"))</f>
        <v>Amber</v>
      </c>
      <c r="K18" s="10" t="s">
        <v>256</v>
      </c>
      <c r="L18" s="10" t="s">
        <v>256</v>
      </c>
      <c r="M18" s="10" t="s">
        <v>257</v>
      </c>
      <c r="N18" s="26" t="n">
        <v>0.75</v>
      </c>
      <c r="O18" s="26" t="n">
        <v>0.935</v>
      </c>
      <c r="P18" s="28" t="n">
        <v>3</v>
      </c>
      <c r="Q18" s="10" t="s">
        <v>258</v>
      </c>
    </row>
    <row r="19" customFormat="false" ht="15" hidden="false" customHeight="false" outlineLevel="0" collapsed="false">
      <c r="C19" s="10" t="s">
        <v>67</v>
      </c>
      <c r="D19" s="25" t="s">
        <v>269</v>
      </c>
      <c r="E19" s="25" t="s">
        <v>145</v>
      </c>
      <c r="F19" s="25" t="s">
        <v>255</v>
      </c>
      <c r="G19" s="35" t="n">
        <f aca="false">Initiatives!L7+(Initiatives!M7-Initiatives!L7)*N19</f>
        <v>0.85</v>
      </c>
      <c r="H19" s="45" t="n">
        <f aca="false">G19*O19</f>
        <v>0.816</v>
      </c>
      <c r="I19" s="45" t="n">
        <f aca="false">H19-G19</f>
        <v>-0.0339999999999999</v>
      </c>
      <c r="J19" s="46" t="str">
        <f aca="false">IF(I19&gt;=Controls!$D$37,"Green",IF(I19&gt;=Controls!$D$38,"Amber","Red"))</f>
        <v>Green</v>
      </c>
      <c r="K19" s="10" t="s">
        <v>256</v>
      </c>
      <c r="L19" s="10" t="s">
        <v>256</v>
      </c>
      <c r="M19" s="10" t="s">
        <v>257</v>
      </c>
      <c r="N19" s="26" t="n">
        <v>1</v>
      </c>
      <c r="O19" s="26" t="n">
        <v>0.96</v>
      </c>
      <c r="P19" s="28" t="n">
        <v>3</v>
      </c>
      <c r="Q19" s="10" t="s">
        <v>258</v>
      </c>
    </row>
    <row r="20" customFormat="false" ht="15" hidden="false" customHeight="false" outlineLevel="0" collapsed="false">
      <c r="C20" s="10" t="s">
        <v>67</v>
      </c>
      <c r="D20" s="25" t="s">
        <v>270</v>
      </c>
      <c r="E20" s="25" t="s">
        <v>145</v>
      </c>
      <c r="F20" s="25" t="s">
        <v>255</v>
      </c>
      <c r="G20" s="35" t="n">
        <f aca="false">Initiatives!M7+(Initiatives!N7-Initiatives!M7)*N20</f>
        <v>0.875</v>
      </c>
      <c r="H20" s="45" t="n">
        <f aca="false">G20*O20</f>
        <v>0.7805</v>
      </c>
      <c r="I20" s="45" t="n">
        <f aca="false">H20-G20</f>
        <v>-0.0945</v>
      </c>
      <c r="J20" s="46" t="str">
        <f aca="false">IF(I20&gt;=Controls!$D$37,"Green",IF(I20&gt;=Controls!$D$38,"Amber","Red"))</f>
        <v>Amber</v>
      </c>
      <c r="K20" s="10" t="s">
        <v>256</v>
      </c>
      <c r="L20" s="10" t="s">
        <v>256</v>
      </c>
      <c r="M20" s="10" t="s">
        <v>257</v>
      </c>
      <c r="N20" s="26" t="n">
        <v>0.25</v>
      </c>
      <c r="O20" s="26" t="n">
        <v>0.892</v>
      </c>
      <c r="P20" s="28" t="n">
        <v>4</v>
      </c>
      <c r="Q20" s="10" t="s">
        <v>258</v>
      </c>
    </row>
    <row r="21" customFormat="false" ht="15" hidden="false" customHeight="false" outlineLevel="0" collapsed="false">
      <c r="C21" s="10" t="s">
        <v>67</v>
      </c>
      <c r="D21" s="25" t="s">
        <v>271</v>
      </c>
      <c r="E21" s="25" t="s">
        <v>145</v>
      </c>
      <c r="F21" s="25" t="s">
        <v>255</v>
      </c>
      <c r="G21" s="35" t="n">
        <f aca="false">Initiatives!M7+(Initiatives!N7-Initiatives!M7)*N21</f>
        <v>0.9</v>
      </c>
      <c r="H21" s="45" t="n">
        <f aca="false">G21*O21</f>
        <v>0.8415</v>
      </c>
      <c r="I21" s="45" t="n">
        <f aca="false">H21-G21</f>
        <v>-0.0585</v>
      </c>
      <c r="J21" s="46" t="str">
        <f aca="false">IF(I21&gt;=Controls!$D$37,"Green",IF(I21&gt;=Controls!$D$38,"Amber","Red"))</f>
        <v>Amber</v>
      </c>
      <c r="K21" s="10" t="s">
        <v>256</v>
      </c>
      <c r="L21" s="10" t="s">
        <v>256</v>
      </c>
      <c r="M21" s="10" t="s">
        <v>257</v>
      </c>
      <c r="N21" s="26" t="n">
        <v>0.5</v>
      </c>
      <c r="O21" s="26" t="n">
        <v>0.935</v>
      </c>
      <c r="P21" s="28" t="n">
        <v>4</v>
      </c>
      <c r="Q21" s="10" t="s">
        <v>258</v>
      </c>
    </row>
    <row r="22" customFormat="false" ht="15" hidden="false" customHeight="false" outlineLevel="0" collapsed="false">
      <c r="C22" s="10" t="s">
        <v>67</v>
      </c>
      <c r="D22" s="25" t="s">
        <v>272</v>
      </c>
      <c r="E22" s="25" t="s">
        <v>145</v>
      </c>
      <c r="F22" s="25" t="s">
        <v>255</v>
      </c>
      <c r="G22" s="35" t="n">
        <f aca="false">Initiatives!M7+(Initiatives!N7-Initiatives!M7)*N22</f>
        <v>0.925</v>
      </c>
      <c r="H22" s="45" t="n">
        <f aca="false">G22*O22</f>
        <v>0.888</v>
      </c>
      <c r="I22" s="45" t="n">
        <f aca="false">H22-G22</f>
        <v>-0.0369999999999999</v>
      </c>
      <c r="J22" s="46" t="str">
        <f aca="false">IF(I22&gt;=Controls!$D$37,"Green",IF(I22&gt;=Controls!$D$38,"Amber","Red"))</f>
        <v>Green</v>
      </c>
      <c r="K22" s="10" t="s">
        <v>256</v>
      </c>
      <c r="L22" s="10" t="s">
        <v>256</v>
      </c>
      <c r="M22" s="10" t="s">
        <v>257</v>
      </c>
      <c r="N22" s="26" t="n">
        <v>0.75</v>
      </c>
      <c r="O22" s="26" t="n">
        <v>0.96</v>
      </c>
      <c r="P22" s="28" t="n">
        <v>4</v>
      </c>
      <c r="Q22" s="10" t="s">
        <v>258</v>
      </c>
    </row>
    <row r="23" customFormat="false" ht="15" hidden="false" customHeight="false" outlineLevel="0" collapsed="false">
      <c r="C23" s="10" t="s">
        <v>67</v>
      </c>
      <c r="D23" s="25" t="s">
        <v>273</v>
      </c>
      <c r="E23" s="25" t="s">
        <v>145</v>
      </c>
      <c r="F23" s="25" t="s">
        <v>255</v>
      </c>
      <c r="G23" s="35" t="n">
        <f aca="false">Initiatives!M7+(Initiatives!N7-Initiatives!M7)*N23</f>
        <v>0.95</v>
      </c>
      <c r="H23" s="45" t="n">
        <f aca="false">G23*O23</f>
        <v>0.93575</v>
      </c>
      <c r="I23" s="45" t="n">
        <f aca="false">H23-G23</f>
        <v>-0.0142499999999999</v>
      </c>
      <c r="J23" s="46" t="str">
        <f aca="false">IF(I23&gt;=Controls!$D$37,"Green",IF(I23&gt;=Controls!$D$38,"Amber","Red"))</f>
        <v>Green</v>
      </c>
      <c r="K23" s="10" t="s">
        <v>256</v>
      </c>
      <c r="L23" s="10" t="s">
        <v>256</v>
      </c>
      <c r="M23" s="10" t="s">
        <v>257</v>
      </c>
      <c r="N23" s="26" t="n">
        <v>1</v>
      </c>
      <c r="O23" s="26" t="n">
        <v>0.985</v>
      </c>
      <c r="P23" s="28" t="n">
        <v>4</v>
      </c>
      <c r="Q23" s="10" t="s">
        <v>258</v>
      </c>
    </row>
    <row r="24" customFormat="false" ht="15" hidden="false" customHeight="false" outlineLevel="0" collapsed="false">
      <c r="C24" s="10" t="s">
        <v>67</v>
      </c>
      <c r="D24" s="25" t="s">
        <v>274</v>
      </c>
      <c r="E24" s="25" t="s">
        <v>145</v>
      </c>
      <c r="F24" s="25" t="s">
        <v>255</v>
      </c>
      <c r="G24" s="35" t="n">
        <f aca="false">Initiatives!N7+(Initiatives!O7-Initiatives!N7)*N24</f>
        <v>0.9625</v>
      </c>
      <c r="H24" s="45" t="n">
        <f aca="false">G24*O24</f>
        <v>0.8826125</v>
      </c>
      <c r="I24" s="45" t="n">
        <f aca="false">H24-G24</f>
        <v>-0.0798875</v>
      </c>
      <c r="J24" s="46" t="str">
        <f aca="false">IF(I24&gt;=Controls!$D$37,"Green",IF(I24&gt;=Controls!$D$38,"Amber","Red"))</f>
        <v>Amber</v>
      </c>
      <c r="K24" s="10" t="s">
        <v>256</v>
      </c>
      <c r="L24" s="10" t="s">
        <v>256</v>
      </c>
      <c r="M24" s="10" t="s">
        <v>257</v>
      </c>
      <c r="N24" s="26" t="n">
        <v>0.25</v>
      </c>
      <c r="O24" s="26" t="n">
        <v>0.917</v>
      </c>
      <c r="P24" s="28" t="n">
        <v>5</v>
      </c>
      <c r="Q24" s="10" t="s">
        <v>258</v>
      </c>
    </row>
    <row r="25" customFormat="false" ht="15" hidden="false" customHeight="false" outlineLevel="0" collapsed="false">
      <c r="C25" s="10" t="s">
        <v>67</v>
      </c>
      <c r="D25" s="25" t="s">
        <v>275</v>
      </c>
      <c r="E25" s="25" t="s">
        <v>145</v>
      </c>
      <c r="F25" s="25" t="s">
        <v>255</v>
      </c>
      <c r="G25" s="35" t="n">
        <f aca="false">Initiatives!N7+(Initiatives!O7-Initiatives!N7)*N25</f>
        <v>0.975</v>
      </c>
      <c r="H25" s="45" t="n">
        <f aca="false">G25*O25</f>
        <v>0.936</v>
      </c>
      <c r="I25" s="45" t="n">
        <f aca="false">H25-G25</f>
        <v>-0.0389999999999999</v>
      </c>
      <c r="J25" s="46" t="str">
        <f aca="false">IF(I25&gt;=Controls!$D$37,"Green",IF(I25&gt;=Controls!$D$38,"Amber","Red"))</f>
        <v>Green</v>
      </c>
      <c r="K25" s="10" t="s">
        <v>256</v>
      </c>
      <c r="L25" s="10" t="s">
        <v>256</v>
      </c>
      <c r="M25" s="10" t="s">
        <v>257</v>
      </c>
      <c r="N25" s="26" t="n">
        <v>0.5</v>
      </c>
      <c r="O25" s="26" t="n">
        <v>0.96</v>
      </c>
      <c r="P25" s="28" t="n">
        <v>5</v>
      </c>
      <c r="Q25" s="10" t="s">
        <v>258</v>
      </c>
    </row>
    <row r="26" customFormat="false" ht="15" hidden="false" customHeight="false" outlineLevel="0" collapsed="false">
      <c r="C26" s="10" t="s">
        <v>67</v>
      </c>
      <c r="D26" s="25" t="s">
        <v>276</v>
      </c>
      <c r="E26" s="25" t="s">
        <v>145</v>
      </c>
      <c r="F26" s="25" t="s">
        <v>255</v>
      </c>
      <c r="G26" s="35" t="n">
        <f aca="false">Initiatives!N7+(Initiatives!O7-Initiatives!N7)*N26</f>
        <v>0.9875</v>
      </c>
      <c r="H26" s="45" t="n">
        <f aca="false">G26*O26</f>
        <v>0.9726875</v>
      </c>
      <c r="I26" s="45" t="n">
        <f aca="false">H26-G26</f>
        <v>-0.0148124999999999</v>
      </c>
      <c r="J26" s="46" t="str">
        <f aca="false">IF(I26&gt;=Controls!$D$37,"Green",IF(I26&gt;=Controls!$D$38,"Amber","Red"))</f>
        <v>Green</v>
      </c>
      <c r="K26" s="10" t="s">
        <v>256</v>
      </c>
      <c r="L26" s="10" t="s">
        <v>256</v>
      </c>
      <c r="M26" s="10" t="s">
        <v>257</v>
      </c>
      <c r="N26" s="26" t="n">
        <v>0.75</v>
      </c>
      <c r="O26" s="26" t="n">
        <v>0.985</v>
      </c>
      <c r="P26" s="28" t="n">
        <v>5</v>
      </c>
      <c r="Q26" s="10" t="s">
        <v>258</v>
      </c>
    </row>
    <row r="27" customFormat="false" ht="15" hidden="false" customHeight="false" outlineLevel="0" collapsed="false">
      <c r="C27" s="10" t="s">
        <v>67</v>
      </c>
      <c r="D27" s="25" t="s">
        <v>277</v>
      </c>
      <c r="E27" s="25" t="s">
        <v>145</v>
      </c>
      <c r="F27" s="25" t="s">
        <v>255</v>
      </c>
      <c r="G27" s="35" t="n">
        <f aca="false">Initiatives!N7+(Initiatives!O7-Initiatives!N7)*N27</f>
        <v>1</v>
      </c>
      <c r="H27" s="45" t="n">
        <f aca="false">G27*O27</f>
        <v>1.01</v>
      </c>
      <c r="I27" s="45" t="n">
        <f aca="false">H27-G27</f>
        <v>0.01</v>
      </c>
      <c r="J27" s="46" t="str">
        <f aca="false">IF(I27&gt;=Controls!$D$37,"Green",IF(I27&gt;=Controls!$D$38,"Amber","Red"))</f>
        <v>Green</v>
      </c>
      <c r="K27" s="10" t="s">
        <v>256</v>
      </c>
      <c r="L27" s="10" t="s">
        <v>256</v>
      </c>
      <c r="M27" s="10" t="s">
        <v>257</v>
      </c>
      <c r="N27" s="26" t="n">
        <v>1</v>
      </c>
      <c r="O27" s="26" t="n">
        <v>1.01</v>
      </c>
      <c r="P27" s="28" t="n">
        <v>5</v>
      </c>
      <c r="Q27" s="10" t="s">
        <v>258</v>
      </c>
    </row>
    <row r="28" customFormat="false" ht="15" hidden="false" customHeight="false" outlineLevel="0" collapsed="false">
      <c r="C28" s="10" t="s">
        <v>69</v>
      </c>
      <c r="D28" s="25" t="s">
        <v>254</v>
      </c>
      <c r="E28" s="25" t="s">
        <v>148</v>
      </c>
      <c r="F28" s="25" t="s">
        <v>278</v>
      </c>
      <c r="G28" s="35" t="n">
        <f aca="false">Initiatives!K14*N28</f>
        <v>0.0625</v>
      </c>
      <c r="H28" s="45" t="n">
        <f aca="false">G28*O28</f>
        <v>0.058875</v>
      </c>
      <c r="I28" s="45" t="n">
        <f aca="false">H28-G28</f>
        <v>-0.003625</v>
      </c>
      <c r="J28" s="46" t="str">
        <f aca="false">IF(I28&gt;=Controls!$D$37,"Green",IF(I28&gt;=Controls!$D$38,"Amber","Red"))</f>
        <v>Green</v>
      </c>
      <c r="K28" s="10" t="s">
        <v>256</v>
      </c>
      <c r="L28" s="10" t="s">
        <v>256</v>
      </c>
      <c r="M28" s="10" t="s">
        <v>279</v>
      </c>
      <c r="N28" s="26" t="n">
        <v>0.25</v>
      </c>
      <c r="O28" s="26" t="n">
        <v>0.942</v>
      </c>
      <c r="P28" s="28" t="n">
        <v>1</v>
      </c>
      <c r="Q28" s="10" t="s">
        <v>258</v>
      </c>
    </row>
    <row r="29" customFormat="false" ht="15" hidden="false" customHeight="false" outlineLevel="0" collapsed="false">
      <c r="C29" s="10" t="s">
        <v>69</v>
      </c>
      <c r="D29" s="25" t="s">
        <v>259</v>
      </c>
      <c r="E29" s="25" t="s">
        <v>148</v>
      </c>
      <c r="F29" s="25" t="s">
        <v>278</v>
      </c>
      <c r="G29" s="35" t="n">
        <f aca="false">Initiatives!K14*N29</f>
        <v>0.125</v>
      </c>
      <c r="H29" s="45" t="n">
        <f aca="false">G29*O29</f>
        <v>0.123125</v>
      </c>
      <c r="I29" s="45" t="n">
        <f aca="false">H29-G29</f>
        <v>-0.00187499999999999</v>
      </c>
      <c r="J29" s="46" t="str">
        <f aca="false">IF(I29&gt;=Controls!$D$37,"Green",IF(I29&gt;=Controls!$D$38,"Amber","Red"))</f>
        <v>Green</v>
      </c>
      <c r="K29" s="10" t="s">
        <v>256</v>
      </c>
      <c r="L29" s="10" t="s">
        <v>256</v>
      </c>
      <c r="M29" s="10" t="s">
        <v>279</v>
      </c>
      <c r="N29" s="26" t="n">
        <v>0.5</v>
      </c>
      <c r="O29" s="26" t="n">
        <v>0.985</v>
      </c>
      <c r="P29" s="28" t="n">
        <v>1</v>
      </c>
      <c r="Q29" s="10" t="s">
        <v>258</v>
      </c>
    </row>
    <row r="30" customFormat="false" ht="15" hidden="false" customHeight="false" outlineLevel="0" collapsed="false">
      <c r="C30" s="10" t="s">
        <v>69</v>
      </c>
      <c r="D30" s="25" t="s">
        <v>260</v>
      </c>
      <c r="E30" s="25" t="s">
        <v>148</v>
      </c>
      <c r="F30" s="25" t="s">
        <v>278</v>
      </c>
      <c r="G30" s="35" t="n">
        <f aca="false">Initiatives!K14*N30</f>
        <v>0.1875</v>
      </c>
      <c r="H30" s="45" t="n">
        <f aca="false">G30*O30</f>
        <v>0.189375</v>
      </c>
      <c r="I30" s="45" t="n">
        <f aca="false">H30-G30</f>
        <v>0.00187500000000002</v>
      </c>
      <c r="J30" s="46" t="str">
        <f aca="false">IF(I30&gt;=Controls!$D$37,"Green",IF(I30&gt;=Controls!$D$38,"Amber","Red"))</f>
        <v>Green</v>
      </c>
      <c r="K30" s="10" t="s">
        <v>256</v>
      </c>
      <c r="L30" s="10" t="s">
        <v>256</v>
      </c>
      <c r="M30" s="10" t="s">
        <v>279</v>
      </c>
      <c r="N30" s="26" t="n">
        <v>0.75</v>
      </c>
      <c r="O30" s="26" t="n">
        <v>1.01</v>
      </c>
      <c r="P30" s="28" t="n">
        <v>1</v>
      </c>
      <c r="Q30" s="10" t="s">
        <v>258</v>
      </c>
    </row>
    <row r="31" customFormat="false" ht="15" hidden="false" customHeight="false" outlineLevel="0" collapsed="false">
      <c r="C31" s="10" t="s">
        <v>69</v>
      </c>
      <c r="D31" s="25" t="s">
        <v>261</v>
      </c>
      <c r="E31" s="25" t="s">
        <v>148</v>
      </c>
      <c r="F31" s="25" t="s">
        <v>278</v>
      </c>
      <c r="G31" s="35" t="n">
        <f aca="false">Initiatives!K14*N31</f>
        <v>0.25</v>
      </c>
      <c r="H31" s="45" t="n">
        <f aca="false">G31*O31</f>
        <v>0.2275</v>
      </c>
      <c r="I31" s="45" t="n">
        <f aca="false">H31-G31</f>
        <v>-0.0225</v>
      </c>
      <c r="J31" s="46" t="str">
        <f aca="false">IF(I31&gt;=Controls!$D$37,"Green",IF(I31&gt;=Controls!$D$38,"Amber","Red"))</f>
        <v>Green</v>
      </c>
      <c r="K31" s="10" t="s">
        <v>256</v>
      </c>
      <c r="L31" s="10" t="s">
        <v>256</v>
      </c>
      <c r="M31" s="10" t="s">
        <v>279</v>
      </c>
      <c r="N31" s="26" t="n">
        <v>1</v>
      </c>
      <c r="O31" s="26" t="n">
        <v>0.91</v>
      </c>
      <c r="P31" s="28" t="n">
        <v>1</v>
      </c>
      <c r="Q31" s="10" t="s">
        <v>258</v>
      </c>
    </row>
    <row r="32" customFormat="false" ht="15" hidden="false" customHeight="false" outlineLevel="0" collapsed="false">
      <c r="C32" s="10" t="s">
        <v>69</v>
      </c>
      <c r="D32" s="25" t="s">
        <v>262</v>
      </c>
      <c r="E32" s="25" t="s">
        <v>148</v>
      </c>
      <c r="F32" s="25" t="s">
        <v>278</v>
      </c>
      <c r="G32" s="35" t="n">
        <f aca="false">Initiatives!K14+(Initiatives!L14-Initiatives!K14)*N32</f>
        <v>0.3375</v>
      </c>
      <c r="H32" s="45" t="n">
        <f aca="false">G32*O32</f>
        <v>0.3263625</v>
      </c>
      <c r="I32" s="45" t="n">
        <f aca="false">H32-G32</f>
        <v>-0.0111375</v>
      </c>
      <c r="J32" s="46" t="str">
        <f aca="false">IF(I32&gt;=Controls!$D$37,"Green",IF(I32&gt;=Controls!$D$38,"Amber","Red"))</f>
        <v>Green</v>
      </c>
      <c r="K32" s="10" t="s">
        <v>256</v>
      </c>
      <c r="L32" s="10" t="s">
        <v>256</v>
      </c>
      <c r="M32" s="10" t="s">
        <v>279</v>
      </c>
      <c r="N32" s="26" t="n">
        <v>0.25</v>
      </c>
      <c r="O32" s="26" t="n">
        <v>0.967</v>
      </c>
      <c r="P32" s="28" t="n">
        <v>2</v>
      </c>
      <c r="Q32" s="10" t="s">
        <v>258</v>
      </c>
    </row>
    <row r="33" customFormat="false" ht="15" hidden="false" customHeight="false" outlineLevel="0" collapsed="false">
      <c r="C33" s="10" t="s">
        <v>69</v>
      </c>
      <c r="D33" s="25" t="s">
        <v>263</v>
      </c>
      <c r="E33" s="25" t="s">
        <v>148</v>
      </c>
      <c r="F33" s="25" t="s">
        <v>278</v>
      </c>
      <c r="G33" s="35" t="n">
        <f aca="false">Initiatives!K14+(Initiatives!L14-Initiatives!K14)*N33</f>
        <v>0.425</v>
      </c>
      <c r="H33" s="45" t="n">
        <f aca="false">G33*O33</f>
        <v>0.42925</v>
      </c>
      <c r="I33" s="45" t="n">
        <f aca="false">H33-G33</f>
        <v>0.00424999999999998</v>
      </c>
      <c r="J33" s="46" t="str">
        <f aca="false">IF(I33&gt;=Controls!$D$37,"Green",IF(I33&gt;=Controls!$D$38,"Amber","Red"))</f>
        <v>Green</v>
      </c>
      <c r="K33" s="10" t="s">
        <v>256</v>
      </c>
      <c r="L33" s="10" t="s">
        <v>256</v>
      </c>
      <c r="M33" s="10" t="s">
        <v>279</v>
      </c>
      <c r="N33" s="26" t="n">
        <v>0.5</v>
      </c>
      <c r="O33" s="26" t="n">
        <v>1.01</v>
      </c>
      <c r="P33" s="28" t="n">
        <v>2</v>
      </c>
      <c r="Q33" s="10" t="s">
        <v>258</v>
      </c>
    </row>
    <row r="34" customFormat="false" ht="15" hidden="false" customHeight="false" outlineLevel="0" collapsed="false">
      <c r="C34" s="10" t="s">
        <v>69</v>
      </c>
      <c r="D34" s="25" t="s">
        <v>264</v>
      </c>
      <c r="E34" s="25" t="s">
        <v>148</v>
      </c>
      <c r="F34" s="25" t="s">
        <v>278</v>
      </c>
      <c r="G34" s="35" t="n">
        <f aca="false">Initiatives!K14+(Initiatives!L14-Initiatives!K14)*N34</f>
        <v>0.5125</v>
      </c>
      <c r="H34" s="45" t="n">
        <f aca="false">G34*O34</f>
        <v>0.466375</v>
      </c>
      <c r="I34" s="45" t="n">
        <f aca="false">H34-G34</f>
        <v>-0.046125</v>
      </c>
      <c r="J34" s="46" t="str">
        <f aca="false">IF(I34&gt;=Controls!$D$37,"Green",IF(I34&gt;=Controls!$D$38,"Amber","Red"))</f>
        <v>Green</v>
      </c>
      <c r="K34" s="10" t="s">
        <v>256</v>
      </c>
      <c r="L34" s="10" t="s">
        <v>256</v>
      </c>
      <c r="M34" s="10" t="s">
        <v>279</v>
      </c>
      <c r="N34" s="26" t="n">
        <v>0.75</v>
      </c>
      <c r="O34" s="26" t="n">
        <v>0.91</v>
      </c>
      <c r="P34" s="28" t="n">
        <v>2</v>
      </c>
      <c r="Q34" s="10" t="s">
        <v>258</v>
      </c>
    </row>
    <row r="35" customFormat="false" ht="15" hidden="false" customHeight="false" outlineLevel="0" collapsed="false">
      <c r="C35" s="10" t="s">
        <v>69</v>
      </c>
      <c r="D35" s="25" t="s">
        <v>265</v>
      </c>
      <c r="E35" s="25" t="s">
        <v>148</v>
      </c>
      <c r="F35" s="25" t="s">
        <v>278</v>
      </c>
      <c r="G35" s="35" t="n">
        <f aca="false">Initiatives!K14+(Initiatives!L14-Initiatives!K14)*N35</f>
        <v>0.6</v>
      </c>
      <c r="H35" s="45" t="n">
        <f aca="false">G35*O35</f>
        <v>0.561</v>
      </c>
      <c r="I35" s="45" t="n">
        <f aca="false">H35-G35</f>
        <v>-0.0389999999999999</v>
      </c>
      <c r="J35" s="46" t="str">
        <f aca="false">IF(I35&gt;=Controls!$D$37,"Green",IF(I35&gt;=Controls!$D$38,"Amber","Red"))</f>
        <v>Green</v>
      </c>
      <c r="K35" s="10" t="s">
        <v>256</v>
      </c>
      <c r="L35" s="10" t="s">
        <v>256</v>
      </c>
      <c r="M35" s="10" t="s">
        <v>279</v>
      </c>
      <c r="N35" s="26" t="n">
        <v>1</v>
      </c>
      <c r="O35" s="26" t="n">
        <v>0.935</v>
      </c>
      <c r="P35" s="28" t="n">
        <v>2</v>
      </c>
      <c r="Q35" s="10" t="s">
        <v>258</v>
      </c>
    </row>
    <row r="36" customFormat="false" ht="15" hidden="false" customHeight="false" outlineLevel="0" collapsed="false">
      <c r="C36" s="10" t="s">
        <v>69</v>
      </c>
      <c r="D36" s="25" t="s">
        <v>266</v>
      </c>
      <c r="E36" s="25" t="s">
        <v>148</v>
      </c>
      <c r="F36" s="25" t="s">
        <v>278</v>
      </c>
      <c r="G36" s="35" t="n">
        <f aca="false">Initiatives!L14+(Initiatives!M14-Initiatives!L14)*N36</f>
        <v>0.6625</v>
      </c>
      <c r="H36" s="45" t="n">
        <f aca="false">G36*O36</f>
        <v>0.6572</v>
      </c>
      <c r="I36" s="45" t="n">
        <f aca="false">H36-G36</f>
        <v>-0.00529999999999997</v>
      </c>
      <c r="J36" s="46" t="str">
        <f aca="false">IF(I36&gt;=Controls!$D$37,"Green",IF(I36&gt;=Controls!$D$38,"Amber","Red"))</f>
        <v>Green</v>
      </c>
      <c r="K36" s="10" t="s">
        <v>256</v>
      </c>
      <c r="L36" s="10" t="s">
        <v>256</v>
      </c>
      <c r="M36" s="10" t="s">
        <v>279</v>
      </c>
      <c r="N36" s="26" t="n">
        <v>0.25</v>
      </c>
      <c r="O36" s="26" t="n">
        <v>0.992</v>
      </c>
      <c r="P36" s="28" t="n">
        <v>3</v>
      </c>
      <c r="Q36" s="10" t="s">
        <v>258</v>
      </c>
    </row>
    <row r="37" customFormat="false" ht="15" hidden="false" customHeight="false" outlineLevel="0" collapsed="false">
      <c r="C37" s="10" t="s">
        <v>69</v>
      </c>
      <c r="D37" s="25" t="s">
        <v>267</v>
      </c>
      <c r="E37" s="25" t="s">
        <v>148</v>
      </c>
      <c r="F37" s="25" t="s">
        <v>278</v>
      </c>
      <c r="G37" s="35" t="n">
        <f aca="false">Initiatives!L14+(Initiatives!M14-Initiatives!L14)*N37</f>
        <v>0.725</v>
      </c>
      <c r="H37" s="45" t="n">
        <f aca="false">G37*O37</f>
        <v>0.65975</v>
      </c>
      <c r="I37" s="45" t="n">
        <f aca="false">H37-G37</f>
        <v>-0.06525</v>
      </c>
      <c r="J37" s="46" t="str">
        <f aca="false">IF(I37&gt;=Controls!$D$37,"Green",IF(I37&gt;=Controls!$D$38,"Amber","Red"))</f>
        <v>Amber</v>
      </c>
      <c r="K37" s="10" t="s">
        <v>256</v>
      </c>
      <c r="L37" s="10" t="s">
        <v>256</v>
      </c>
      <c r="M37" s="10" t="s">
        <v>279</v>
      </c>
      <c r="N37" s="26" t="n">
        <v>0.5</v>
      </c>
      <c r="O37" s="26" t="n">
        <v>0.91</v>
      </c>
      <c r="P37" s="28" t="n">
        <v>3</v>
      </c>
      <c r="Q37" s="10" t="s">
        <v>258</v>
      </c>
    </row>
    <row r="38" customFormat="false" ht="15" hidden="false" customHeight="false" outlineLevel="0" collapsed="false">
      <c r="C38" s="10" t="s">
        <v>69</v>
      </c>
      <c r="D38" s="25" t="s">
        <v>268</v>
      </c>
      <c r="E38" s="25" t="s">
        <v>148</v>
      </c>
      <c r="F38" s="25" t="s">
        <v>278</v>
      </c>
      <c r="G38" s="35" t="n">
        <f aca="false">Initiatives!L14+(Initiatives!M14-Initiatives!L14)*N38</f>
        <v>0.7875</v>
      </c>
      <c r="H38" s="45" t="n">
        <f aca="false">G38*O38</f>
        <v>0.7363125</v>
      </c>
      <c r="I38" s="45" t="n">
        <f aca="false">H38-G38</f>
        <v>-0.0511874999999999</v>
      </c>
      <c r="J38" s="46" t="str">
        <f aca="false">IF(I38&gt;=Controls!$D$37,"Green",IF(I38&gt;=Controls!$D$38,"Amber","Red"))</f>
        <v>Amber</v>
      </c>
      <c r="K38" s="10" t="s">
        <v>256</v>
      </c>
      <c r="L38" s="10" t="s">
        <v>256</v>
      </c>
      <c r="M38" s="10" t="s">
        <v>279</v>
      </c>
      <c r="N38" s="26" t="n">
        <v>0.75</v>
      </c>
      <c r="O38" s="26" t="n">
        <v>0.935</v>
      </c>
      <c r="P38" s="28" t="n">
        <v>3</v>
      </c>
      <c r="Q38" s="10" t="s">
        <v>258</v>
      </c>
    </row>
    <row r="39" customFormat="false" ht="15" hidden="false" customHeight="false" outlineLevel="0" collapsed="false">
      <c r="C39" s="10" t="s">
        <v>69</v>
      </c>
      <c r="D39" s="25" t="s">
        <v>269</v>
      </c>
      <c r="E39" s="25" t="s">
        <v>148</v>
      </c>
      <c r="F39" s="25" t="s">
        <v>278</v>
      </c>
      <c r="G39" s="35" t="n">
        <f aca="false">Initiatives!L14+(Initiatives!M14-Initiatives!L14)*N39</f>
        <v>0.85</v>
      </c>
      <c r="H39" s="45" t="n">
        <f aca="false">G39*O39</f>
        <v>0.816</v>
      </c>
      <c r="I39" s="45" t="n">
        <f aca="false">H39-G39</f>
        <v>-0.0339999999999999</v>
      </c>
      <c r="J39" s="46" t="str">
        <f aca="false">IF(I39&gt;=Controls!$D$37,"Green",IF(I39&gt;=Controls!$D$38,"Amber","Red"))</f>
        <v>Green</v>
      </c>
      <c r="K39" s="10" t="s">
        <v>256</v>
      </c>
      <c r="L39" s="10" t="s">
        <v>256</v>
      </c>
      <c r="M39" s="10" t="s">
        <v>279</v>
      </c>
      <c r="N39" s="26" t="n">
        <v>1</v>
      </c>
      <c r="O39" s="26" t="n">
        <v>0.96</v>
      </c>
      <c r="P39" s="28" t="n">
        <v>3</v>
      </c>
      <c r="Q39" s="10" t="s">
        <v>258</v>
      </c>
    </row>
    <row r="40" customFormat="false" ht="15" hidden="false" customHeight="false" outlineLevel="0" collapsed="false">
      <c r="C40" s="10" t="s">
        <v>69</v>
      </c>
      <c r="D40" s="25" t="s">
        <v>270</v>
      </c>
      <c r="E40" s="25" t="s">
        <v>148</v>
      </c>
      <c r="F40" s="25" t="s">
        <v>278</v>
      </c>
      <c r="G40" s="35" t="n">
        <f aca="false">Initiatives!M14+(Initiatives!N14-Initiatives!M14)*N40</f>
        <v>0.8875</v>
      </c>
      <c r="H40" s="45" t="n">
        <f aca="false">G40*O40</f>
        <v>0.79165</v>
      </c>
      <c r="I40" s="45" t="n">
        <f aca="false">H40-G40</f>
        <v>-0.09585</v>
      </c>
      <c r="J40" s="46" t="str">
        <f aca="false">IF(I40&gt;=Controls!$D$37,"Green",IF(I40&gt;=Controls!$D$38,"Amber","Red"))</f>
        <v>Amber</v>
      </c>
      <c r="K40" s="10" t="s">
        <v>256</v>
      </c>
      <c r="L40" s="10" t="s">
        <v>256</v>
      </c>
      <c r="M40" s="10" t="s">
        <v>279</v>
      </c>
      <c r="N40" s="26" t="n">
        <v>0.25</v>
      </c>
      <c r="O40" s="26" t="n">
        <v>0.892</v>
      </c>
      <c r="P40" s="28" t="n">
        <v>4</v>
      </c>
      <c r="Q40" s="10" t="s">
        <v>258</v>
      </c>
    </row>
    <row r="41" customFormat="false" ht="15" hidden="false" customHeight="false" outlineLevel="0" collapsed="false">
      <c r="C41" s="10" t="s">
        <v>69</v>
      </c>
      <c r="D41" s="25" t="s">
        <v>271</v>
      </c>
      <c r="E41" s="25" t="s">
        <v>148</v>
      </c>
      <c r="F41" s="25" t="s">
        <v>278</v>
      </c>
      <c r="G41" s="35" t="n">
        <f aca="false">Initiatives!M14+(Initiatives!N14-Initiatives!M14)*N41</f>
        <v>0.925</v>
      </c>
      <c r="H41" s="45" t="n">
        <f aca="false">G41*O41</f>
        <v>0.864875</v>
      </c>
      <c r="I41" s="45" t="n">
        <f aca="false">H41-G41</f>
        <v>-0.060125</v>
      </c>
      <c r="J41" s="46" t="str">
        <f aca="false">IF(I41&gt;=Controls!$D$37,"Green",IF(I41&gt;=Controls!$D$38,"Amber","Red"))</f>
        <v>Amber</v>
      </c>
      <c r="K41" s="10" t="s">
        <v>256</v>
      </c>
      <c r="L41" s="10" t="s">
        <v>256</v>
      </c>
      <c r="M41" s="10" t="s">
        <v>279</v>
      </c>
      <c r="N41" s="26" t="n">
        <v>0.5</v>
      </c>
      <c r="O41" s="26" t="n">
        <v>0.935</v>
      </c>
      <c r="P41" s="28" t="n">
        <v>4</v>
      </c>
      <c r="Q41" s="10" t="s">
        <v>258</v>
      </c>
    </row>
    <row r="42" customFormat="false" ht="15" hidden="false" customHeight="false" outlineLevel="0" collapsed="false">
      <c r="C42" s="10" t="s">
        <v>69</v>
      </c>
      <c r="D42" s="25" t="s">
        <v>272</v>
      </c>
      <c r="E42" s="25" t="s">
        <v>148</v>
      </c>
      <c r="F42" s="25" t="s">
        <v>278</v>
      </c>
      <c r="G42" s="35" t="n">
        <f aca="false">Initiatives!M14+(Initiatives!N14-Initiatives!M14)*N42</f>
        <v>0.9625</v>
      </c>
      <c r="H42" s="45" t="n">
        <f aca="false">G42*O42</f>
        <v>0.924</v>
      </c>
      <c r="I42" s="45" t="n">
        <f aca="false">H42-G42</f>
        <v>-0.0385</v>
      </c>
      <c r="J42" s="46" t="str">
        <f aca="false">IF(I42&gt;=Controls!$D$37,"Green",IF(I42&gt;=Controls!$D$38,"Amber","Red"))</f>
        <v>Green</v>
      </c>
      <c r="K42" s="10" t="s">
        <v>256</v>
      </c>
      <c r="L42" s="10" t="s">
        <v>256</v>
      </c>
      <c r="M42" s="10" t="s">
        <v>279</v>
      </c>
      <c r="N42" s="26" t="n">
        <v>0.75</v>
      </c>
      <c r="O42" s="26" t="n">
        <v>0.96</v>
      </c>
      <c r="P42" s="28" t="n">
        <v>4</v>
      </c>
      <c r="Q42" s="10" t="s">
        <v>258</v>
      </c>
    </row>
    <row r="43" customFormat="false" ht="15" hidden="false" customHeight="false" outlineLevel="0" collapsed="false">
      <c r="C43" s="10" t="s">
        <v>69</v>
      </c>
      <c r="D43" s="25" t="s">
        <v>273</v>
      </c>
      <c r="E43" s="25" t="s">
        <v>148</v>
      </c>
      <c r="F43" s="25" t="s">
        <v>278</v>
      </c>
      <c r="G43" s="35" t="n">
        <f aca="false">Initiatives!M14+(Initiatives!N14-Initiatives!M14)*N43</f>
        <v>1</v>
      </c>
      <c r="H43" s="45" t="n">
        <f aca="false">G43*O43</f>
        <v>0.985</v>
      </c>
      <c r="I43" s="45" t="n">
        <f aca="false">H43-G43</f>
        <v>-0.0149999999999999</v>
      </c>
      <c r="J43" s="46" t="str">
        <f aca="false">IF(I43&gt;=Controls!$D$37,"Green",IF(I43&gt;=Controls!$D$38,"Amber","Red"))</f>
        <v>Green</v>
      </c>
      <c r="K43" s="10" t="s">
        <v>256</v>
      </c>
      <c r="L43" s="10" t="s">
        <v>256</v>
      </c>
      <c r="M43" s="10" t="s">
        <v>279</v>
      </c>
      <c r="N43" s="26" t="n">
        <v>1</v>
      </c>
      <c r="O43" s="26" t="n">
        <v>0.985</v>
      </c>
      <c r="P43" s="28" t="n">
        <v>4</v>
      </c>
      <c r="Q43" s="10" t="s">
        <v>258</v>
      </c>
    </row>
    <row r="44" customFormat="false" ht="15" hidden="false" customHeight="false" outlineLevel="0" collapsed="false">
      <c r="C44" s="10" t="s">
        <v>69</v>
      </c>
      <c r="D44" s="25" t="s">
        <v>274</v>
      </c>
      <c r="E44" s="25" t="s">
        <v>148</v>
      </c>
      <c r="F44" s="25" t="s">
        <v>278</v>
      </c>
      <c r="G44" s="35" t="n">
        <f aca="false">Initiatives!N14+(Initiatives!O14-Initiatives!N14)*N44</f>
        <v>1</v>
      </c>
      <c r="H44" s="45" t="n">
        <f aca="false">G44*O44</f>
        <v>0.917</v>
      </c>
      <c r="I44" s="45" t="n">
        <f aca="false">H44-G44</f>
        <v>-0.083</v>
      </c>
      <c r="J44" s="46" t="str">
        <f aca="false">IF(I44&gt;=Controls!$D$37,"Green",IF(I44&gt;=Controls!$D$38,"Amber","Red"))</f>
        <v>Amber</v>
      </c>
      <c r="K44" s="10" t="s">
        <v>256</v>
      </c>
      <c r="L44" s="10" t="s">
        <v>256</v>
      </c>
      <c r="M44" s="10" t="s">
        <v>279</v>
      </c>
      <c r="N44" s="26" t="n">
        <v>0.25</v>
      </c>
      <c r="O44" s="26" t="n">
        <v>0.917</v>
      </c>
      <c r="P44" s="28" t="n">
        <v>5</v>
      </c>
      <c r="Q44" s="10" t="s">
        <v>258</v>
      </c>
    </row>
    <row r="45" customFormat="false" ht="15" hidden="false" customHeight="false" outlineLevel="0" collapsed="false">
      <c r="C45" s="10" t="s">
        <v>69</v>
      </c>
      <c r="D45" s="25" t="s">
        <v>275</v>
      </c>
      <c r="E45" s="25" t="s">
        <v>148</v>
      </c>
      <c r="F45" s="25" t="s">
        <v>278</v>
      </c>
      <c r="G45" s="35" t="n">
        <f aca="false">Initiatives!N14+(Initiatives!O14-Initiatives!N14)*N45</f>
        <v>1</v>
      </c>
      <c r="H45" s="45" t="n">
        <f aca="false">G45*O45</f>
        <v>0.96</v>
      </c>
      <c r="I45" s="45" t="n">
        <f aca="false">H45-G45</f>
        <v>-0.0399999999999999</v>
      </c>
      <c r="J45" s="46" t="str">
        <f aca="false">IF(I45&gt;=Controls!$D$37,"Green",IF(I45&gt;=Controls!$D$38,"Amber","Red"))</f>
        <v>Green</v>
      </c>
      <c r="K45" s="10" t="s">
        <v>256</v>
      </c>
      <c r="L45" s="10" t="s">
        <v>256</v>
      </c>
      <c r="M45" s="10" t="s">
        <v>279</v>
      </c>
      <c r="N45" s="26" t="n">
        <v>0.5</v>
      </c>
      <c r="O45" s="26" t="n">
        <v>0.96</v>
      </c>
      <c r="P45" s="28" t="n">
        <v>5</v>
      </c>
      <c r="Q45" s="10" t="s">
        <v>258</v>
      </c>
    </row>
    <row r="46" customFormat="false" ht="15" hidden="false" customHeight="false" outlineLevel="0" collapsed="false">
      <c r="C46" s="10" t="s">
        <v>69</v>
      </c>
      <c r="D46" s="25" t="s">
        <v>276</v>
      </c>
      <c r="E46" s="25" t="s">
        <v>148</v>
      </c>
      <c r="F46" s="25" t="s">
        <v>278</v>
      </c>
      <c r="G46" s="35" t="n">
        <f aca="false">Initiatives!N14+(Initiatives!O14-Initiatives!N14)*N46</f>
        <v>1</v>
      </c>
      <c r="H46" s="45" t="n">
        <f aca="false">G46*O46</f>
        <v>0.985</v>
      </c>
      <c r="I46" s="45" t="n">
        <f aca="false">H46-G46</f>
        <v>-0.0149999999999999</v>
      </c>
      <c r="J46" s="46" t="str">
        <f aca="false">IF(I46&gt;=Controls!$D$37,"Green",IF(I46&gt;=Controls!$D$38,"Amber","Red"))</f>
        <v>Green</v>
      </c>
      <c r="K46" s="10" t="s">
        <v>256</v>
      </c>
      <c r="L46" s="10" t="s">
        <v>256</v>
      </c>
      <c r="M46" s="10" t="s">
        <v>279</v>
      </c>
      <c r="N46" s="26" t="n">
        <v>0.75</v>
      </c>
      <c r="O46" s="26" t="n">
        <v>0.985</v>
      </c>
      <c r="P46" s="28" t="n">
        <v>5</v>
      </c>
      <c r="Q46" s="10" t="s">
        <v>258</v>
      </c>
    </row>
    <row r="47" customFormat="false" ht="15" hidden="false" customHeight="false" outlineLevel="0" collapsed="false">
      <c r="C47" s="10" t="s">
        <v>69</v>
      </c>
      <c r="D47" s="25" t="s">
        <v>277</v>
      </c>
      <c r="E47" s="25" t="s">
        <v>148</v>
      </c>
      <c r="F47" s="25" t="s">
        <v>278</v>
      </c>
      <c r="G47" s="35" t="n">
        <f aca="false">Initiatives!N14+(Initiatives!O14-Initiatives!N14)*N47</f>
        <v>1</v>
      </c>
      <c r="H47" s="45" t="n">
        <f aca="false">G47*O47</f>
        <v>1.01</v>
      </c>
      <c r="I47" s="45" t="n">
        <f aca="false">H47-G47</f>
        <v>0.01</v>
      </c>
      <c r="J47" s="46" t="str">
        <f aca="false">IF(I47&gt;=Controls!$D$37,"Green",IF(I47&gt;=Controls!$D$38,"Amber","Red"))</f>
        <v>Green</v>
      </c>
      <c r="K47" s="10" t="s">
        <v>256</v>
      </c>
      <c r="L47" s="10" t="s">
        <v>256</v>
      </c>
      <c r="M47" s="10" t="s">
        <v>279</v>
      </c>
      <c r="N47" s="26" t="n">
        <v>1</v>
      </c>
      <c r="O47" s="26" t="n">
        <v>1.01</v>
      </c>
      <c r="P47" s="28" t="n">
        <v>5</v>
      </c>
      <c r="Q47" s="10" t="s">
        <v>258</v>
      </c>
    </row>
    <row r="48" customFormat="false" ht="15" hidden="false" customHeight="false" outlineLevel="0" collapsed="false">
      <c r="C48" s="10" t="s">
        <v>70</v>
      </c>
      <c r="D48" s="25" t="s">
        <v>254</v>
      </c>
      <c r="E48" s="25" t="s">
        <v>151</v>
      </c>
      <c r="F48" s="25" t="s">
        <v>280</v>
      </c>
      <c r="G48" s="35" t="n">
        <f aca="false">Initiatives!K21*N48</f>
        <v>0.0625</v>
      </c>
      <c r="H48" s="45" t="n">
        <f aca="false">G48*O48</f>
        <v>0.058875</v>
      </c>
      <c r="I48" s="45" t="n">
        <f aca="false">H48-G48</f>
        <v>-0.003625</v>
      </c>
      <c r="J48" s="46" t="str">
        <f aca="false">IF(I48&gt;=Controls!$D$37,"Green",IF(I48&gt;=Controls!$D$38,"Amber","Red"))</f>
        <v>Green</v>
      </c>
      <c r="K48" s="26" t="n">
        <v>0.983</v>
      </c>
      <c r="L48" s="46" t="str">
        <f aca="false">IF(H48&lt;Controls!$D$39,"Pause",IF(K48&lt;Controls!$D$40,"Fix","Expand"))</f>
        <v>Pause</v>
      </c>
      <c r="M48" s="10" t="s">
        <v>281</v>
      </c>
      <c r="N48" s="26" t="n">
        <v>0.25</v>
      </c>
      <c r="O48" s="26" t="n">
        <v>0.942</v>
      </c>
      <c r="P48" s="28" t="n">
        <v>1</v>
      </c>
      <c r="Q48" s="10" t="s">
        <v>258</v>
      </c>
    </row>
    <row r="49" customFormat="false" ht="15" hidden="false" customHeight="false" outlineLevel="0" collapsed="false">
      <c r="C49" s="10" t="s">
        <v>70</v>
      </c>
      <c r="D49" s="25" t="s">
        <v>259</v>
      </c>
      <c r="E49" s="25" t="s">
        <v>151</v>
      </c>
      <c r="F49" s="25" t="s">
        <v>280</v>
      </c>
      <c r="G49" s="35" t="n">
        <f aca="false">Initiatives!K21*N49</f>
        <v>0.125</v>
      </c>
      <c r="H49" s="45" t="n">
        <f aca="false">G49*O49</f>
        <v>0.123125</v>
      </c>
      <c r="I49" s="45" t="n">
        <f aca="false">H49-G49</f>
        <v>-0.00187499999999999</v>
      </c>
      <c r="J49" s="46" t="str">
        <f aca="false">IF(I49&gt;=Controls!$D$37,"Green",IF(I49&gt;=Controls!$D$38,"Amber","Red"))</f>
        <v>Green</v>
      </c>
      <c r="K49" s="26" t="n">
        <v>0.987</v>
      </c>
      <c r="L49" s="46" t="str">
        <f aca="false">IF(H49&lt;Controls!$D$39,"Pause",IF(K49&lt;Controls!$D$40,"Fix","Expand"))</f>
        <v>Pause</v>
      </c>
      <c r="M49" s="10" t="s">
        <v>281</v>
      </c>
      <c r="N49" s="26" t="n">
        <v>0.5</v>
      </c>
      <c r="O49" s="26" t="n">
        <v>0.985</v>
      </c>
      <c r="P49" s="28" t="n">
        <v>1</v>
      </c>
      <c r="Q49" s="10" t="s">
        <v>258</v>
      </c>
    </row>
    <row r="50" customFormat="false" ht="15" hidden="false" customHeight="false" outlineLevel="0" collapsed="false">
      <c r="C50" s="10" t="s">
        <v>70</v>
      </c>
      <c r="D50" s="25" t="s">
        <v>260</v>
      </c>
      <c r="E50" s="25" t="s">
        <v>151</v>
      </c>
      <c r="F50" s="25" t="s">
        <v>280</v>
      </c>
      <c r="G50" s="35" t="n">
        <f aca="false">Initiatives!K21*N50</f>
        <v>0.1875</v>
      </c>
      <c r="H50" s="45" t="n">
        <f aca="false">G50*O50</f>
        <v>0.189375</v>
      </c>
      <c r="I50" s="45" t="n">
        <f aca="false">H50-G50</f>
        <v>0.00187500000000002</v>
      </c>
      <c r="J50" s="46" t="str">
        <f aca="false">IF(I50&gt;=Controls!$D$37,"Green",IF(I50&gt;=Controls!$D$38,"Amber","Red"))</f>
        <v>Green</v>
      </c>
      <c r="K50" s="26" t="n">
        <v>0.991</v>
      </c>
      <c r="L50" s="46" t="str">
        <f aca="false">IF(H50&lt;Controls!$D$39,"Pause",IF(K50&lt;Controls!$D$40,"Fix","Expand"))</f>
        <v>Pause</v>
      </c>
      <c r="M50" s="10" t="s">
        <v>281</v>
      </c>
      <c r="N50" s="26" t="n">
        <v>0.75</v>
      </c>
      <c r="O50" s="26" t="n">
        <v>1.01</v>
      </c>
      <c r="P50" s="28" t="n">
        <v>1</v>
      </c>
      <c r="Q50" s="10" t="s">
        <v>258</v>
      </c>
    </row>
    <row r="51" customFormat="false" ht="15" hidden="false" customHeight="false" outlineLevel="0" collapsed="false">
      <c r="C51" s="10" t="s">
        <v>70</v>
      </c>
      <c r="D51" s="25" t="s">
        <v>261</v>
      </c>
      <c r="E51" s="25" t="s">
        <v>151</v>
      </c>
      <c r="F51" s="25" t="s">
        <v>280</v>
      </c>
      <c r="G51" s="35" t="n">
        <f aca="false">Initiatives!K21*N51</f>
        <v>0.25</v>
      </c>
      <c r="H51" s="45" t="n">
        <f aca="false">G51*O51</f>
        <v>0.2275</v>
      </c>
      <c r="I51" s="45" t="n">
        <f aca="false">H51-G51</f>
        <v>-0.0225</v>
      </c>
      <c r="J51" s="46" t="str">
        <f aca="false">IF(I51&gt;=Controls!$D$37,"Green",IF(I51&gt;=Controls!$D$38,"Amber","Red"))</f>
        <v>Green</v>
      </c>
      <c r="K51" s="26" t="n">
        <v>0.975</v>
      </c>
      <c r="L51" s="46" t="str">
        <f aca="false">IF(H51&lt;Controls!$D$39,"Pause",IF(K51&lt;Controls!$D$40,"Fix","Expand"))</f>
        <v>Pause</v>
      </c>
      <c r="M51" s="10" t="s">
        <v>281</v>
      </c>
      <c r="N51" s="26" t="n">
        <v>1</v>
      </c>
      <c r="O51" s="26" t="n">
        <v>0.91</v>
      </c>
      <c r="P51" s="28" t="n">
        <v>1</v>
      </c>
      <c r="Q51" s="10" t="s">
        <v>258</v>
      </c>
    </row>
    <row r="52" customFormat="false" ht="15" hidden="false" customHeight="false" outlineLevel="0" collapsed="false">
      <c r="C52" s="10" t="s">
        <v>70</v>
      </c>
      <c r="D52" s="25" t="s">
        <v>262</v>
      </c>
      <c r="E52" s="25" t="s">
        <v>151</v>
      </c>
      <c r="F52" s="25" t="s">
        <v>280</v>
      </c>
      <c r="G52" s="35" t="n">
        <f aca="false">Initiatives!K21+(Initiatives!L21-Initiatives!K21)*N52</f>
        <v>0.325</v>
      </c>
      <c r="H52" s="45" t="n">
        <f aca="false">G52*O52</f>
        <v>0.314275</v>
      </c>
      <c r="I52" s="45" t="n">
        <f aca="false">H52-G52</f>
        <v>-0.010725</v>
      </c>
      <c r="J52" s="46" t="str">
        <f aca="false">IF(I52&gt;=Controls!$D$37,"Green",IF(I52&gt;=Controls!$D$38,"Amber","Red"))</f>
        <v>Green</v>
      </c>
      <c r="K52" s="26" t="n">
        <v>0.987</v>
      </c>
      <c r="L52" s="46" t="str">
        <f aca="false">IF(H52&lt;Controls!$D$39,"Pause",IF(K52&lt;Controls!$D$40,"Fix","Expand"))</f>
        <v>Pause</v>
      </c>
      <c r="M52" s="10" t="s">
        <v>281</v>
      </c>
      <c r="N52" s="26" t="n">
        <v>0.25</v>
      </c>
      <c r="O52" s="26" t="n">
        <v>0.967</v>
      </c>
      <c r="P52" s="28" t="n">
        <v>2</v>
      </c>
      <c r="Q52" s="10" t="s">
        <v>258</v>
      </c>
    </row>
    <row r="53" customFormat="false" ht="15" hidden="false" customHeight="false" outlineLevel="0" collapsed="false">
      <c r="C53" s="10" t="s">
        <v>70</v>
      </c>
      <c r="D53" s="25" t="s">
        <v>263</v>
      </c>
      <c r="E53" s="25" t="s">
        <v>151</v>
      </c>
      <c r="F53" s="25" t="s">
        <v>280</v>
      </c>
      <c r="G53" s="35" t="n">
        <f aca="false">Initiatives!K21+(Initiatives!L21-Initiatives!K21)*N53</f>
        <v>0.4</v>
      </c>
      <c r="H53" s="45" t="n">
        <f aca="false">G53*O53</f>
        <v>0.404</v>
      </c>
      <c r="I53" s="45" t="n">
        <f aca="false">H53-G53</f>
        <v>0.004</v>
      </c>
      <c r="J53" s="46" t="str">
        <f aca="false">IF(I53&gt;=Controls!$D$37,"Green",IF(I53&gt;=Controls!$D$38,"Amber","Red"))</f>
        <v>Green</v>
      </c>
      <c r="K53" s="26" t="n">
        <v>0.991</v>
      </c>
      <c r="L53" s="46" t="str">
        <f aca="false">IF(H53&lt;Controls!$D$39,"Pause",IF(K53&lt;Controls!$D$40,"Fix","Expand"))</f>
        <v>Pause</v>
      </c>
      <c r="M53" s="10" t="s">
        <v>281</v>
      </c>
      <c r="N53" s="26" t="n">
        <v>0.5</v>
      </c>
      <c r="O53" s="26" t="n">
        <v>1.01</v>
      </c>
      <c r="P53" s="28" t="n">
        <v>2</v>
      </c>
      <c r="Q53" s="10" t="s">
        <v>258</v>
      </c>
    </row>
    <row r="54" customFormat="false" ht="15" hidden="false" customHeight="false" outlineLevel="0" collapsed="false">
      <c r="C54" s="10" t="s">
        <v>70</v>
      </c>
      <c r="D54" s="25" t="s">
        <v>264</v>
      </c>
      <c r="E54" s="25" t="s">
        <v>151</v>
      </c>
      <c r="F54" s="25" t="s">
        <v>280</v>
      </c>
      <c r="G54" s="35" t="n">
        <f aca="false">Initiatives!K21+(Initiatives!L21-Initiatives!K21)*N54</f>
        <v>0.475</v>
      </c>
      <c r="H54" s="45" t="n">
        <f aca="false">G54*O54</f>
        <v>0.43225</v>
      </c>
      <c r="I54" s="45" t="n">
        <f aca="false">H54-G54</f>
        <v>-0.04275</v>
      </c>
      <c r="J54" s="46" t="str">
        <f aca="false">IF(I54&gt;=Controls!$D$37,"Green",IF(I54&gt;=Controls!$D$38,"Amber","Red"))</f>
        <v>Green</v>
      </c>
      <c r="K54" s="26" t="n">
        <v>0.975</v>
      </c>
      <c r="L54" s="46" t="str">
        <f aca="false">IF(H54&lt;Controls!$D$39,"Pause",IF(K54&lt;Controls!$D$40,"Fix","Expand"))</f>
        <v>Pause</v>
      </c>
      <c r="M54" s="10" t="s">
        <v>281</v>
      </c>
      <c r="N54" s="26" t="n">
        <v>0.75</v>
      </c>
      <c r="O54" s="26" t="n">
        <v>0.91</v>
      </c>
      <c r="P54" s="28" t="n">
        <v>2</v>
      </c>
      <c r="Q54" s="10" t="s">
        <v>258</v>
      </c>
    </row>
    <row r="55" customFormat="false" ht="15" hidden="false" customHeight="false" outlineLevel="0" collapsed="false">
      <c r="C55" s="10" t="s">
        <v>70</v>
      </c>
      <c r="D55" s="25" t="s">
        <v>265</v>
      </c>
      <c r="E55" s="25" t="s">
        <v>151</v>
      </c>
      <c r="F55" s="25" t="s">
        <v>280</v>
      </c>
      <c r="G55" s="35" t="n">
        <f aca="false">Initiatives!K21+(Initiatives!L21-Initiatives!K21)*N55</f>
        <v>0.55</v>
      </c>
      <c r="H55" s="45" t="n">
        <f aca="false">G55*O55</f>
        <v>0.51425</v>
      </c>
      <c r="I55" s="45" t="n">
        <f aca="false">H55-G55</f>
        <v>-0.03575</v>
      </c>
      <c r="J55" s="46" t="str">
        <f aca="false">IF(I55&gt;=Controls!$D$37,"Green",IF(I55&gt;=Controls!$D$38,"Amber","Red"))</f>
        <v>Green</v>
      </c>
      <c r="K55" s="26" t="n">
        <v>0.979</v>
      </c>
      <c r="L55" s="46" t="str">
        <f aca="false">IF(H55&lt;Controls!$D$39,"Pause",IF(K55&lt;Controls!$D$40,"Fix","Expand"))</f>
        <v>Pause</v>
      </c>
      <c r="M55" s="10" t="s">
        <v>281</v>
      </c>
      <c r="N55" s="26" t="n">
        <v>1</v>
      </c>
      <c r="O55" s="26" t="n">
        <v>0.935</v>
      </c>
      <c r="P55" s="28" t="n">
        <v>2</v>
      </c>
      <c r="Q55" s="10" t="s">
        <v>258</v>
      </c>
    </row>
    <row r="56" customFormat="false" ht="15" hidden="false" customHeight="false" outlineLevel="0" collapsed="false">
      <c r="C56" s="10" t="s">
        <v>70</v>
      </c>
      <c r="D56" s="25" t="s">
        <v>266</v>
      </c>
      <c r="E56" s="25" t="s">
        <v>151</v>
      </c>
      <c r="F56" s="25" t="s">
        <v>280</v>
      </c>
      <c r="G56" s="35" t="n">
        <f aca="false">Initiatives!L21+(Initiatives!M21-Initiatives!L21)*N56</f>
        <v>0.6</v>
      </c>
      <c r="H56" s="45" t="n">
        <f aca="false">G56*O56</f>
        <v>0.5952</v>
      </c>
      <c r="I56" s="45" t="n">
        <f aca="false">H56-G56</f>
        <v>-0.00480000000000003</v>
      </c>
      <c r="J56" s="46" t="str">
        <f aca="false">IF(I56&gt;=Controls!$D$37,"Green",IF(I56&gt;=Controls!$D$38,"Amber","Red"))</f>
        <v>Green</v>
      </c>
      <c r="K56" s="26" t="n">
        <v>0.991</v>
      </c>
      <c r="L56" s="46" t="str">
        <f aca="false">IF(H56&lt;Controls!$D$39,"Pause",IF(K56&lt;Controls!$D$40,"Fix","Expand"))</f>
        <v>Pause</v>
      </c>
      <c r="M56" s="10" t="s">
        <v>281</v>
      </c>
      <c r="N56" s="26" t="n">
        <v>0.25</v>
      </c>
      <c r="O56" s="26" t="n">
        <v>0.992</v>
      </c>
      <c r="P56" s="28" t="n">
        <v>3</v>
      </c>
      <c r="Q56" s="10" t="s">
        <v>258</v>
      </c>
    </row>
    <row r="57" customFormat="false" ht="15" hidden="false" customHeight="false" outlineLevel="0" collapsed="false">
      <c r="C57" s="10" t="s">
        <v>70</v>
      </c>
      <c r="D57" s="25" t="s">
        <v>267</v>
      </c>
      <c r="E57" s="25" t="s">
        <v>151</v>
      </c>
      <c r="F57" s="25" t="s">
        <v>280</v>
      </c>
      <c r="G57" s="35" t="n">
        <f aca="false">Initiatives!L21+(Initiatives!M21-Initiatives!L21)*N57</f>
        <v>0.65</v>
      </c>
      <c r="H57" s="45" t="n">
        <f aca="false">G57*O57</f>
        <v>0.5915</v>
      </c>
      <c r="I57" s="45" t="n">
        <f aca="false">H57-G57</f>
        <v>-0.0585</v>
      </c>
      <c r="J57" s="46" t="str">
        <f aca="false">IF(I57&gt;=Controls!$D$37,"Green",IF(I57&gt;=Controls!$D$38,"Amber","Red"))</f>
        <v>Amber</v>
      </c>
      <c r="K57" s="26" t="n">
        <v>0.975</v>
      </c>
      <c r="L57" s="46" t="str">
        <f aca="false">IF(H57&lt;Controls!$D$39,"Pause",IF(K57&lt;Controls!$D$40,"Fix","Expand"))</f>
        <v>Pause</v>
      </c>
      <c r="M57" s="10" t="s">
        <v>281</v>
      </c>
      <c r="N57" s="26" t="n">
        <v>0.5</v>
      </c>
      <c r="O57" s="26" t="n">
        <v>0.91</v>
      </c>
      <c r="P57" s="28" t="n">
        <v>3</v>
      </c>
      <c r="Q57" s="10" t="s">
        <v>258</v>
      </c>
    </row>
    <row r="58" customFormat="false" ht="15" hidden="false" customHeight="false" outlineLevel="0" collapsed="false">
      <c r="C58" s="10" t="s">
        <v>70</v>
      </c>
      <c r="D58" s="25" t="s">
        <v>268</v>
      </c>
      <c r="E58" s="25" t="s">
        <v>151</v>
      </c>
      <c r="F58" s="25" t="s">
        <v>280</v>
      </c>
      <c r="G58" s="35" t="n">
        <f aca="false">Initiatives!L21+(Initiatives!M21-Initiatives!L21)*N58</f>
        <v>0.7</v>
      </c>
      <c r="H58" s="45" t="n">
        <f aca="false">G58*O58</f>
        <v>0.6545</v>
      </c>
      <c r="I58" s="45" t="n">
        <f aca="false">H58-G58</f>
        <v>-0.0455</v>
      </c>
      <c r="J58" s="46" t="str">
        <f aca="false">IF(I58&gt;=Controls!$D$37,"Green",IF(I58&gt;=Controls!$D$38,"Amber","Red"))</f>
        <v>Green</v>
      </c>
      <c r="K58" s="26" t="n">
        <v>0.979</v>
      </c>
      <c r="L58" s="46" t="str">
        <f aca="false">IF(H58&lt;Controls!$D$39,"Pause",IF(K58&lt;Controls!$D$40,"Fix","Expand"))</f>
        <v>Fix</v>
      </c>
      <c r="M58" s="10" t="s">
        <v>281</v>
      </c>
      <c r="N58" s="26" t="n">
        <v>0.75</v>
      </c>
      <c r="O58" s="26" t="n">
        <v>0.935</v>
      </c>
      <c r="P58" s="28" t="n">
        <v>3</v>
      </c>
      <c r="Q58" s="10" t="s">
        <v>258</v>
      </c>
    </row>
    <row r="59" customFormat="false" ht="15" hidden="false" customHeight="false" outlineLevel="0" collapsed="false">
      <c r="C59" s="10" t="s">
        <v>70</v>
      </c>
      <c r="D59" s="25" t="s">
        <v>269</v>
      </c>
      <c r="E59" s="25" t="s">
        <v>151</v>
      </c>
      <c r="F59" s="25" t="s">
        <v>280</v>
      </c>
      <c r="G59" s="35" t="n">
        <f aca="false">Initiatives!L21+(Initiatives!M21-Initiatives!L21)*N59</f>
        <v>0.75</v>
      </c>
      <c r="H59" s="45" t="n">
        <f aca="false">G59*O59</f>
        <v>0.72</v>
      </c>
      <c r="I59" s="45" t="n">
        <f aca="false">H59-G59</f>
        <v>-0.0299999999999999</v>
      </c>
      <c r="J59" s="46" t="str">
        <f aca="false">IF(I59&gt;=Controls!$D$37,"Green",IF(I59&gt;=Controls!$D$38,"Amber","Red"))</f>
        <v>Green</v>
      </c>
      <c r="K59" s="26" t="n">
        <v>0.983</v>
      </c>
      <c r="L59" s="46" t="str">
        <f aca="false">IF(H59&lt;Controls!$D$39,"Pause",IF(K59&lt;Controls!$D$40,"Fix","Expand"))</f>
        <v>Expand</v>
      </c>
      <c r="M59" s="10" t="s">
        <v>281</v>
      </c>
      <c r="N59" s="26" t="n">
        <v>1</v>
      </c>
      <c r="O59" s="26" t="n">
        <v>0.96</v>
      </c>
      <c r="P59" s="28" t="n">
        <v>3</v>
      </c>
      <c r="Q59" s="10" t="s">
        <v>258</v>
      </c>
    </row>
    <row r="60" customFormat="false" ht="15" hidden="false" customHeight="false" outlineLevel="0" collapsed="false">
      <c r="C60" s="10" t="s">
        <v>70</v>
      </c>
      <c r="D60" s="25" t="s">
        <v>270</v>
      </c>
      <c r="E60" s="25" t="s">
        <v>151</v>
      </c>
      <c r="F60" s="25" t="s">
        <v>280</v>
      </c>
      <c r="G60" s="35" t="n">
        <f aca="false">Initiatives!M21+(Initiatives!N21-Initiatives!M21)*N60</f>
        <v>0.775</v>
      </c>
      <c r="H60" s="45" t="n">
        <f aca="false">G60*O60</f>
        <v>0.6913</v>
      </c>
      <c r="I60" s="45" t="n">
        <f aca="false">H60-G60</f>
        <v>-0.0837</v>
      </c>
      <c r="J60" s="46" t="str">
        <f aca="false">IF(I60&gt;=Controls!$D$37,"Green",IF(I60&gt;=Controls!$D$38,"Amber","Red"))</f>
        <v>Amber</v>
      </c>
      <c r="K60" s="26" t="n">
        <v>0.975</v>
      </c>
      <c r="L60" s="46" t="str">
        <f aca="false">IF(H60&lt;Controls!$D$39,"Pause",IF(K60&lt;Controls!$D$40,"Fix","Expand"))</f>
        <v>Fix</v>
      </c>
      <c r="M60" s="10" t="s">
        <v>281</v>
      </c>
      <c r="N60" s="26" t="n">
        <v>0.25</v>
      </c>
      <c r="O60" s="26" t="n">
        <v>0.892</v>
      </c>
      <c r="P60" s="28" t="n">
        <v>4</v>
      </c>
      <c r="Q60" s="10" t="s">
        <v>258</v>
      </c>
    </row>
    <row r="61" customFormat="false" ht="15" hidden="false" customHeight="false" outlineLevel="0" collapsed="false">
      <c r="C61" s="10" t="s">
        <v>70</v>
      </c>
      <c r="D61" s="25" t="s">
        <v>271</v>
      </c>
      <c r="E61" s="25" t="s">
        <v>151</v>
      </c>
      <c r="F61" s="25" t="s">
        <v>280</v>
      </c>
      <c r="G61" s="35" t="n">
        <f aca="false">Initiatives!M21+(Initiatives!N21-Initiatives!M21)*N61</f>
        <v>0.8</v>
      </c>
      <c r="H61" s="45" t="n">
        <f aca="false">G61*O61</f>
        <v>0.748</v>
      </c>
      <c r="I61" s="45" t="n">
        <f aca="false">H61-G61</f>
        <v>-0.0519999999999999</v>
      </c>
      <c r="J61" s="46" t="str">
        <f aca="false">IF(I61&gt;=Controls!$D$37,"Green",IF(I61&gt;=Controls!$D$38,"Amber","Red"))</f>
        <v>Amber</v>
      </c>
      <c r="K61" s="26" t="n">
        <v>0.979</v>
      </c>
      <c r="L61" s="46" t="str">
        <f aca="false">IF(H61&lt;Controls!$D$39,"Pause",IF(K61&lt;Controls!$D$40,"Fix","Expand"))</f>
        <v>Fix</v>
      </c>
      <c r="M61" s="10" t="s">
        <v>281</v>
      </c>
      <c r="N61" s="26" t="n">
        <v>0.5</v>
      </c>
      <c r="O61" s="26" t="n">
        <v>0.935</v>
      </c>
      <c r="P61" s="28" t="n">
        <v>4</v>
      </c>
      <c r="Q61" s="10" t="s">
        <v>258</v>
      </c>
    </row>
    <row r="62" customFormat="false" ht="15" hidden="false" customHeight="false" outlineLevel="0" collapsed="false">
      <c r="C62" s="10" t="s">
        <v>70</v>
      </c>
      <c r="D62" s="25" t="s">
        <v>272</v>
      </c>
      <c r="E62" s="25" t="s">
        <v>151</v>
      </c>
      <c r="F62" s="25" t="s">
        <v>280</v>
      </c>
      <c r="G62" s="35" t="n">
        <f aca="false">Initiatives!M21+(Initiatives!N21-Initiatives!M21)*N62</f>
        <v>0.825</v>
      </c>
      <c r="H62" s="45" t="n">
        <f aca="false">G62*O62</f>
        <v>0.792</v>
      </c>
      <c r="I62" s="45" t="n">
        <f aca="false">H62-G62</f>
        <v>-0.0329999999999999</v>
      </c>
      <c r="J62" s="46" t="str">
        <f aca="false">IF(I62&gt;=Controls!$D$37,"Green",IF(I62&gt;=Controls!$D$38,"Amber","Red"))</f>
        <v>Green</v>
      </c>
      <c r="K62" s="26" t="n">
        <v>0.983</v>
      </c>
      <c r="L62" s="46" t="str">
        <f aca="false">IF(H62&lt;Controls!$D$39,"Pause",IF(K62&lt;Controls!$D$40,"Fix","Expand"))</f>
        <v>Expand</v>
      </c>
      <c r="M62" s="10" t="s">
        <v>281</v>
      </c>
      <c r="N62" s="26" t="n">
        <v>0.75</v>
      </c>
      <c r="O62" s="26" t="n">
        <v>0.96</v>
      </c>
      <c r="P62" s="28" t="n">
        <v>4</v>
      </c>
      <c r="Q62" s="10" t="s">
        <v>258</v>
      </c>
    </row>
    <row r="63" customFormat="false" ht="15" hidden="false" customHeight="false" outlineLevel="0" collapsed="false">
      <c r="C63" s="10" t="s">
        <v>70</v>
      </c>
      <c r="D63" s="25" t="s">
        <v>273</v>
      </c>
      <c r="E63" s="25" t="s">
        <v>151</v>
      </c>
      <c r="F63" s="25" t="s">
        <v>280</v>
      </c>
      <c r="G63" s="35" t="n">
        <f aca="false">Initiatives!M21+(Initiatives!N21-Initiatives!M21)*N63</f>
        <v>0.85</v>
      </c>
      <c r="H63" s="45" t="n">
        <f aca="false">G63*O63</f>
        <v>0.83725</v>
      </c>
      <c r="I63" s="45" t="n">
        <f aca="false">H63-G63</f>
        <v>-0.0127499999999999</v>
      </c>
      <c r="J63" s="46" t="str">
        <f aca="false">IF(I63&gt;=Controls!$D$37,"Green",IF(I63&gt;=Controls!$D$38,"Amber","Red"))</f>
        <v>Green</v>
      </c>
      <c r="K63" s="26" t="n">
        <v>0.987</v>
      </c>
      <c r="L63" s="46" t="str">
        <f aca="false">IF(H63&lt;Controls!$D$39,"Pause",IF(K63&lt;Controls!$D$40,"Fix","Expand"))</f>
        <v>Expand</v>
      </c>
      <c r="M63" s="10" t="s">
        <v>281</v>
      </c>
      <c r="N63" s="26" t="n">
        <v>1</v>
      </c>
      <c r="O63" s="26" t="n">
        <v>0.985</v>
      </c>
      <c r="P63" s="28" t="n">
        <v>4</v>
      </c>
      <c r="Q63" s="10" t="s">
        <v>258</v>
      </c>
    </row>
    <row r="64" customFormat="false" ht="15" hidden="false" customHeight="false" outlineLevel="0" collapsed="false">
      <c r="C64" s="10" t="s">
        <v>70</v>
      </c>
      <c r="D64" s="25" t="s">
        <v>274</v>
      </c>
      <c r="E64" s="25" t="s">
        <v>151</v>
      </c>
      <c r="F64" s="25" t="s">
        <v>280</v>
      </c>
      <c r="G64" s="35" t="n">
        <f aca="false">Initiatives!N21+(Initiatives!O21-Initiatives!N21)*N64</f>
        <v>0.8625</v>
      </c>
      <c r="H64" s="45" t="n">
        <f aca="false">G64*O64</f>
        <v>0.7909125</v>
      </c>
      <c r="I64" s="45" t="n">
        <f aca="false">H64-G64</f>
        <v>-0.0715875</v>
      </c>
      <c r="J64" s="46" t="str">
        <f aca="false">IF(I64&gt;=Controls!$D$37,"Green",IF(I64&gt;=Controls!$D$38,"Amber","Red"))</f>
        <v>Amber</v>
      </c>
      <c r="K64" s="26" t="n">
        <v>0.979</v>
      </c>
      <c r="L64" s="46" t="str">
        <f aca="false">IF(H64&lt;Controls!$D$39,"Pause",IF(K64&lt;Controls!$D$40,"Fix","Expand"))</f>
        <v>Fix</v>
      </c>
      <c r="M64" s="10" t="s">
        <v>281</v>
      </c>
      <c r="N64" s="26" t="n">
        <v>0.25</v>
      </c>
      <c r="O64" s="26" t="n">
        <v>0.917</v>
      </c>
      <c r="P64" s="28" t="n">
        <v>5</v>
      </c>
      <c r="Q64" s="10" t="s">
        <v>258</v>
      </c>
    </row>
    <row r="65" customFormat="false" ht="15" hidden="false" customHeight="false" outlineLevel="0" collapsed="false">
      <c r="C65" s="10" t="s">
        <v>70</v>
      </c>
      <c r="D65" s="25" t="s">
        <v>275</v>
      </c>
      <c r="E65" s="25" t="s">
        <v>151</v>
      </c>
      <c r="F65" s="25" t="s">
        <v>280</v>
      </c>
      <c r="G65" s="35" t="n">
        <f aca="false">Initiatives!N21+(Initiatives!O21-Initiatives!N21)*N65</f>
        <v>0.875</v>
      </c>
      <c r="H65" s="45" t="n">
        <f aca="false">G65*O65</f>
        <v>0.84</v>
      </c>
      <c r="I65" s="45" t="n">
        <f aca="false">H65-G65</f>
        <v>-0.0349999999999999</v>
      </c>
      <c r="J65" s="46" t="str">
        <f aca="false">IF(I65&gt;=Controls!$D$37,"Green",IF(I65&gt;=Controls!$D$38,"Amber","Red"))</f>
        <v>Green</v>
      </c>
      <c r="K65" s="26" t="n">
        <v>0.983</v>
      </c>
      <c r="L65" s="46" t="str">
        <f aca="false">IF(H65&lt;Controls!$D$39,"Pause",IF(K65&lt;Controls!$D$40,"Fix","Expand"))</f>
        <v>Expand</v>
      </c>
      <c r="M65" s="10" t="s">
        <v>281</v>
      </c>
      <c r="N65" s="26" t="n">
        <v>0.5</v>
      </c>
      <c r="O65" s="26" t="n">
        <v>0.96</v>
      </c>
      <c r="P65" s="28" t="n">
        <v>5</v>
      </c>
      <c r="Q65" s="10" t="s">
        <v>258</v>
      </c>
    </row>
    <row r="66" customFormat="false" ht="15" hidden="false" customHeight="false" outlineLevel="0" collapsed="false">
      <c r="C66" s="10" t="s">
        <v>70</v>
      </c>
      <c r="D66" s="25" t="s">
        <v>276</v>
      </c>
      <c r="E66" s="25" t="s">
        <v>151</v>
      </c>
      <c r="F66" s="25" t="s">
        <v>280</v>
      </c>
      <c r="G66" s="35" t="n">
        <f aca="false">Initiatives!N21+(Initiatives!O21-Initiatives!N21)*N66</f>
        <v>0.8875</v>
      </c>
      <c r="H66" s="45" t="n">
        <f aca="false">G66*O66</f>
        <v>0.8741875</v>
      </c>
      <c r="I66" s="45" t="n">
        <f aca="false">H66-G66</f>
        <v>-0.0133125</v>
      </c>
      <c r="J66" s="46" t="str">
        <f aca="false">IF(I66&gt;=Controls!$D$37,"Green",IF(I66&gt;=Controls!$D$38,"Amber","Red"))</f>
        <v>Green</v>
      </c>
      <c r="K66" s="26" t="n">
        <v>0.987</v>
      </c>
      <c r="L66" s="46" t="str">
        <f aca="false">IF(H66&lt;Controls!$D$39,"Pause",IF(K66&lt;Controls!$D$40,"Fix","Expand"))</f>
        <v>Expand</v>
      </c>
      <c r="M66" s="10" t="s">
        <v>281</v>
      </c>
      <c r="N66" s="26" t="n">
        <v>0.75</v>
      </c>
      <c r="O66" s="26" t="n">
        <v>0.985</v>
      </c>
      <c r="P66" s="28" t="n">
        <v>5</v>
      </c>
      <c r="Q66" s="10" t="s">
        <v>258</v>
      </c>
    </row>
    <row r="67" customFormat="false" ht="15" hidden="false" customHeight="false" outlineLevel="0" collapsed="false">
      <c r="C67" s="10" t="s">
        <v>70</v>
      </c>
      <c r="D67" s="25" t="s">
        <v>277</v>
      </c>
      <c r="E67" s="25" t="s">
        <v>151</v>
      </c>
      <c r="F67" s="25" t="s">
        <v>280</v>
      </c>
      <c r="G67" s="35" t="n">
        <f aca="false">Initiatives!N21+(Initiatives!O21-Initiatives!N21)*N67</f>
        <v>0.9</v>
      </c>
      <c r="H67" s="45" t="n">
        <f aca="false">G67*O67</f>
        <v>0.909</v>
      </c>
      <c r="I67" s="45" t="n">
        <f aca="false">H67-G67</f>
        <v>0.00900000000000001</v>
      </c>
      <c r="J67" s="46" t="str">
        <f aca="false">IF(I67&gt;=Controls!$D$37,"Green",IF(I67&gt;=Controls!$D$38,"Amber","Red"))</f>
        <v>Green</v>
      </c>
      <c r="K67" s="26" t="n">
        <v>0.991</v>
      </c>
      <c r="L67" s="46" t="str">
        <f aca="false">IF(H67&lt;Controls!$D$39,"Pause",IF(K67&lt;Controls!$D$40,"Fix","Expand"))</f>
        <v>Expand</v>
      </c>
      <c r="M67" s="10" t="s">
        <v>281</v>
      </c>
      <c r="N67" s="26" t="n">
        <v>1</v>
      </c>
      <c r="O67" s="26" t="n">
        <v>1.01</v>
      </c>
      <c r="P67" s="28" t="n">
        <v>5</v>
      </c>
      <c r="Q67" s="10" t="s">
        <v>258</v>
      </c>
    </row>
  </sheetData>
  <autoFilter ref="C7:Q67"/>
  <mergeCells count="3">
    <mergeCell ref="C3:Q3"/>
    <mergeCell ref="C5:Q5"/>
    <mergeCell ref="C6:Q6"/>
  </mergeCells>
  <conditionalFormatting sqref="J8:J67">
    <cfRule type="expression" priority="2" aboveAverage="0" equalAverage="0" bottom="0" percent="0" rank="0" text="" dxfId="10">
      <formula>J8="Green"</formula>
    </cfRule>
    <cfRule type="expression" priority="3" aboveAverage="0" equalAverage="0" bottom="0" percent="0" rank="0" text="" dxfId="11">
      <formula>J8="Amber"</formula>
    </cfRule>
    <cfRule type="expression" priority="4" aboveAverage="0" equalAverage="0" bottom="0" percent="0" rank="0" text="" dxfId="12">
      <formula>J8="Red"</formula>
    </cfRule>
  </conditionalFormatting>
  <conditionalFormatting sqref="L8:L67">
    <cfRule type="expression" priority="5" aboveAverage="0" equalAverage="0" bottom="0" percent="0" rank="0" text="" dxfId="10">
      <formula>L8="Expand"</formula>
    </cfRule>
    <cfRule type="expression" priority="6" aboveAverage="0" equalAverage="0" bottom="0" percent="0" rank="0" text="" dxfId="11">
      <formula>L8="Fix"</formula>
    </cfRule>
    <cfRule type="expression" priority="7" aboveAverage="0" equalAverage="0" bottom="0" percent="0" rank="0" text="" dxfId="12">
      <formula>L8="Pause"</formula>
    </cfRule>
  </conditionalFormatting>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J5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3"/>
    <col collapsed="false" customWidth="true" hidden="false" outlineLevel="0" max="3" min="3" style="0" width="47"/>
    <col collapsed="false" customWidth="true" hidden="false" outlineLevel="0" max="4" min="4" style="0" width="45"/>
    <col collapsed="false" customWidth="true" hidden="false" outlineLevel="0" max="5" min="5" style="0" width="78"/>
    <col collapsed="false" customWidth="true" hidden="false" outlineLevel="0" max="6" min="6" style="0" width="80"/>
    <col collapsed="false" customWidth="true" hidden="false" outlineLevel="0" max="17" min="7" style="0" width="14"/>
  </cols>
  <sheetData>
    <row r="2" customFormat="false" ht="17.35" hidden="false" customHeight="false" outlineLevel="0" collapsed="false">
      <c r="C2" s="1" t="s">
        <v>282</v>
      </c>
    </row>
    <row r="3" customFormat="false" ht="30.75" hidden="false" customHeight="true" outlineLevel="0" collapsed="false">
      <c r="C3" s="2" t="s">
        <v>283</v>
      </c>
      <c r="D3" s="2"/>
      <c r="E3" s="2"/>
      <c r="F3" s="2"/>
      <c r="G3" s="2"/>
      <c r="H3" s="2"/>
      <c r="I3" s="2"/>
      <c r="J3" s="2"/>
    </row>
    <row r="4" customFormat="false" ht="15" hidden="false" customHeight="false" outlineLevel="0" collapsed="false">
      <c r="C4" s="3"/>
      <c r="D4" s="3"/>
      <c r="E4" s="3"/>
      <c r="F4" s="3"/>
      <c r="G4" s="3"/>
      <c r="H4" s="3"/>
      <c r="I4" s="3"/>
      <c r="J4" s="3"/>
    </row>
    <row r="5" customFormat="false" ht="21" hidden="false" customHeight="true" outlineLevel="0" collapsed="false">
      <c r="C5" s="14" t="s">
        <v>284</v>
      </c>
      <c r="D5" s="15"/>
      <c r="E5" s="15"/>
      <c r="F5" s="15"/>
      <c r="G5" s="15"/>
      <c r="H5" s="15"/>
    </row>
    <row r="7" customFormat="false" ht="30" hidden="false" customHeight="true" outlineLevel="0" collapsed="false">
      <c r="C7" s="21" t="s">
        <v>18</v>
      </c>
      <c r="D7" s="21" t="s">
        <v>285</v>
      </c>
      <c r="E7" s="21" t="s">
        <v>286</v>
      </c>
      <c r="F7" s="21" t="s">
        <v>287</v>
      </c>
    </row>
    <row r="8" customFormat="false" ht="15" hidden="false" customHeight="false" outlineLevel="0" collapsed="false">
      <c r="C8" s="10" t="s">
        <v>288</v>
      </c>
      <c r="D8" s="16" t="n">
        <f aca="false">Returns!D13+Returns!D14-Returns!D15-Returns!D16</f>
        <v>0</v>
      </c>
      <c r="E8" s="46" t="str">
        <f aca="false">IF(ABS(D8)&lt;Controls!$D$34,"PASS","FAIL")</f>
        <v>PASS</v>
      </c>
      <c r="F8" s="10" t="s">
        <v>289</v>
      </c>
    </row>
    <row r="9" customFormat="false" ht="15" hidden="false" customHeight="false" outlineLevel="0" collapsed="false">
      <c r="C9" s="10" t="s">
        <v>290</v>
      </c>
      <c r="D9" s="16" t="n">
        <f aca="false">Returns!D20-Returns!D21-Returns!D22+'Cash Flow &amp; Debt'!H23-Returns!D23</f>
        <v>0</v>
      </c>
      <c r="E9" s="46" t="str">
        <f aca="false">IF(ABS(D9)&lt;Controls!$D$34,"PASS","FAIL")</f>
        <v>PASS</v>
      </c>
      <c r="F9" s="10" t="s">
        <v>291</v>
      </c>
    </row>
    <row r="10" customFormat="false" ht="15" hidden="false" customHeight="false" outlineLevel="0" collapsed="false">
      <c r="C10" s="10" t="s">
        <v>292</v>
      </c>
      <c r="D10" s="16" t="n">
        <f aca="false">Dashboard!D28+Dashboard!D29+Dashboard!D30-Dashboard!D31</f>
        <v>0</v>
      </c>
      <c r="E10" s="46" t="str">
        <f aca="false">IF(ABS(D10)&lt;Controls!$D$34,"PASS","FAIL")</f>
        <v>PASS</v>
      </c>
      <c r="F10" s="10" t="s">
        <v>293</v>
      </c>
    </row>
    <row r="11" customFormat="false" ht="15" hidden="false" customHeight="false" outlineLevel="0" collapsed="false">
      <c r="C11" s="10" t="s">
        <v>294</v>
      </c>
      <c r="D11" s="16" t="n">
        <f aca="false">MAX(ABS('Cash Flow &amp; Debt'!D18+'Cash Flow &amp; Debt'!D17-'Cash Flow &amp; Debt'!D19-'Cash Flow &amp; Debt'!D21-'Cash Flow &amp; Debt'!D23),ABS('Cash Flow &amp; Debt'!E18+'Cash Flow &amp; Debt'!E17-'Cash Flow &amp; Debt'!E19-'Cash Flow &amp; Debt'!E21-'Cash Flow &amp; Debt'!E23),ABS('Cash Flow &amp; Debt'!F18+'Cash Flow &amp; Debt'!F17-'Cash Flow &amp; Debt'!F19-'Cash Flow &amp; Debt'!F21-'Cash Flow &amp; Debt'!F23),ABS('Cash Flow &amp; Debt'!G18+'Cash Flow &amp; Debt'!G17-'Cash Flow &amp; Debt'!G19-'Cash Flow &amp; Debt'!G21-'Cash Flow &amp; Debt'!G23),ABS('Cash Flow &amp; Debt'!H18+'Cash Flow &amp; Debt'!H17-'Cash Flow &amp; Debt'!H19-'Cash Flow &amp; Debt'!H21-'Cash Flow &amp; Debt'!H23))</f>
        <v>0</v>
      </c>
      <c r="E11" s="46" t="str">
        <f aca="false">IF(ABS(D11)&lt;Controls!$D$34,"PASS","FAIL")</f>
        <v>PASS</v>
      </c>
      <c r="F11" s="10" t="s">
        <v>295</v>
      </c>
    </row>
    <row r="12" customFormat="false" ht="15" hidden="false" customHeight="false" outlineLevel="0" collapsed="false">
      <c r="C12" s="10" t="s">
        <v>296</v>
      </c>
      <c r="D12" s="16" t="n">
        <f aca="false">MAX(ABS('Cash Flow &amp; Debt'!D11-'Cash Flow &amp; Debt'!D19-'Cash Flow &amp; Debt'!D21-'Cash Flow &amp; Debt'!D22),ABS('Cash Flow &amp; Debt'!E11-'Cash Flow &amp; Debt'!E19-'Cash Flow &amp; Debt'!E21-'Cash Flow &amp; Debt'!E22),ABS('Cash Flow &amp; Debt'!F11-'Cash Flow &amp; Debt'!F19-'Cash Flow &amp; Debt'!F21-'Cash Flow &amp; Debt'!F22),ABS('Cash Flow &amp; Debt'!G11-'Cash Flow &amp; Debt'!G19-'Cash Flow &amp; Debt'!G21-'Cash Flow &amp; Debt'!G22),ABS('Cash Flow &amp; Debt'!H11-'Cash Flow &amp; Debt'!H19-'Cash Flow &amp; Debt'!H21-'Cash Flow &amp; Debt'!H22))</f>
        <v>0</v>
      </c>
      <c r="E12" s="46" t="str">
        <f aca="false">IF(ABS(D12)&lt;Controls!$D$34,"PASS","FAIL")</f>
        <v>PASS</v>
      </c>
      <c r="F12" s="10" t="s">
        <v>297</v>
      </c>
    </row>
    <row r="13" customFormat="false" ht="15" hidden="false" customHeight="false" outlineLevel="0" collapsed="false">
      <c r="C13" s="10" t="s">
        <v>298</v>
      </c>
      <c r="D13" s="16" t="n">
        <f aca="false">MIN('Cash Flow &amp; Debt'!D22:H22)</f>
        <v>17.9706982621574</v>
      </c>
      <c r="E13" s="10" t="str">
        <f aca="false">IF(D13&gt;=0,"PASS","FAIL")</f>
        <v>PASS</v>
      </c>
      <c r="F13" s="10" t="s">
        <v>299</v>
      </c>
    </row>
    <row r="14" customFormat="false" ht="15" hidden="false" customHeight="false" outlineLevel="0" collapsed="false">
      <c r="C14" s="10" t="s">
        <v>300</v>
      </c>
      <c r="D14" s="16" t="n">
        <f aca="false">MIN('Cash Flow &amp; Debt'!D23:H23)</f>
        <v>0.255181875</v>
      </c>
      <c r="E14" s="10" t="str">
        <f aca="false">IF(D14&gt;=0,"PASS","FAIL")</f>
        <v>PASS</v>
      </c>
      <c r="F14" s="10" t="s">
        <v>301</v>
      </c>
    </row>
    <row r="15" customFormat="false" ht="15" hidden="false" customHeight="false" outlineLevel="0" collapsed="false">
      <c r="C15" s="10" t="s">
        <v>302</v>
      </c>
      <c r="D15" s="16" t="n">
        <f aca="false">IF(Controls!D8="Off",SUM('Operating Model'!D17:H17),0)</f>
        <v>0</v>
      </c>
      <c r="E15" s="10" t="str">
        <f aca="false">IF(D15=0,"PASS","FAIL")</f>
        <v>PASS</v>
      </c>
      <c r="F15" s="10" t="s">
        <v>303</v>
      </c>
    </row>
    <row r="16" customFormat="false" ht="15" hidden="false" customHeight="false" outlineLevel="0" collapsed="false">
      <c r="C16" s="10" t="s">
        <v>304</v>
      </c>
      <c r="D16" s="16" t="n">
        <f aca="false">IF(Controls!D9="Off",SUM('Operating Model'!D23:H23),0)</f>
        <v>0</v>
      </c>
      <c r="E16" s="10" t="str">
        <f aca="false">IF(D16=0,"PASS","FAIL")</f>
        <v>PASS</v>
      </c>
      <c r="F16" s="10" t="s">
        <v>305</v>
      </c>
    </row>
    <row r="17" customFormat="false" ht="15" hidden="false" customHeight="false" outlineLevel="0" collapsed="false">
      <c r="C17" s="10" t="s">
        <v>306</v>
      </c>
      <c r="D17" s="16" t="n">
        <f aca="false">IF(Controls!D10="Off",SUM('Operating Model'!D32:H32),0)</f>
        <v>0</v>
      </c>
      <c r="E17" s="10" t="str">
        <f aca="false">IF(D17=0,"PASS","FAIL")</f>
        <v>PASS</v>
      </c>
      <c r="F17" s="10" t="s">
        <v>307</v>
      </c>
    </row>
    <row r="18" customFormat="false" ht="15" hidden="false" customHeight="false" outlineLevel="0" collapsed="false">
      <c r="C18" s="10" t="s">
        <v>308</v>
      </c>
      <c r="D18" s="16" t="n">
        <f aca="false">IF(OR(Controls!D6=Controls!C15,Controls!D6=Controls!C16,Controls!D6=Controls!C17),0,1)</f>
        <v>0</v>
      </c>
      <c r="E18" s="10" t="str">
        <f aca="false">IF(D18=0,"PASS","FAIL")</f>
        <v>PASS</v>
      </c>
      <c r="F18" s="10" t="s">
        <v>309</v>
      </c>
    </row>
    <row r="19" customFormat="false" ht="15" hidden="false" customHeight="false" outlineLevel="0" collapsed="false">
      <c r="C19" s="10" t="s">
        <v>310</v>
      </c>
      <c r="D19" s="16" t="n">
        <f aca="false">COUNT(Returns!D25,Returns!D26)</f>
        <v>2</v>
      </c>
      <c r="E19" s="46" t="str">
        <f aca="false">IF(D19=Controls!$D$35,"PASS","FAIL")</f>
        <v>PASS</v>
      </c>
      <c r="F19" s="10" t="s">
        <v>311</v>
      </c>
    </row>
    <row r="22" customFormat="false" ht="21" hidden="false" customHeight="true" outlineLevel="0" collapsed="false">
      <c r="C22" s="14" t="s">
        <v>312</v>
      </c>
      <c r="D22" s="15"/>
      <c r="E22" s="15"/>
      <c r="F22" s="15"/>
      <c r="G22" s="15"/>
      <c r="H22" s="15"/>
    </row>
    <row r="24" customFormat="false" ht="30" hidden="false" customHeight="true" outlineLevel="0" collapsed="false">
      <c r="C24" s="21" t="s">
        <v>313</v>
      </c>
      <c r="D24" s="21" t="s">
        <v>314</v>
      </c>
      <c r="E24" s="21" t="s">
        <v>315</v>
      </c>
    </row>
    <row r="25" customFormat="false" ht="15" hidden="false" customHeight="false" outlineLevel="0" collapsed="false">
      <c r="C25" s="10" t="s">
        <v>316</v>
      </c>
      <c r="D25" s="10" t="s">
        <v>317</v>
      </c>
      <c r="E25" s="10" t="s">
        <v>318</v>
      </c>
    </row>
    <row r="26" customFormat="false" ht="15" hidden="false" customHeight="false" outlineLevel="0" collapsed="false">
      <c r="C26" s="10" t="s">
        <v>319</v>
      </c>
      <c r="D26" s="10" t="s">
        <v>320</v>
      </c>
      <c r="E26" s="10" t="s">
        <v>321</v>
      </c>
    </row>
    <row r="27" customFormat="false" ht="15" hidden="false" customHeight="false" outlineLevel="0" collapsed="false">
      <c r="C27" s="10" t="s">
        <v>322</v>
      </c>
      <c r="D27" s="10" t="s">
        <v>323</v>
      </c>
      <c r="E27" s="10" t="s">
        <v>324</v>
      </c>
    </row>
    <row r="28" customFormat="false" ht="15" hidden="false" customHeight="false" outlineLevel="0" collapsed="false">
      <c r="C28" s="10" t="s">
        <v>325</v>
      </c>
      <c r="D28" s="10" t="s">
        <v>326</v>
      </c>
      <c r="E28" s="10" t="s">
        <v>327</v>
      </c>
    </row>
    <row r="29" customFormat="false" ht="15" hidden="false" customHeight="false" outlineLevel="0" collapsed="false">
      <c r="C29" s="10" t="s">
        <v>328</v>
      </c>
      <c r="D29" s="10" t="s">
        <v>329</v>
      </c>
      <c r="E29" s="10" t="s">
        <v>330</v>
      </c>
    </row>
    <row r="30" customFormat="false" ht="15" hidden="false" customHeight="false" outlineLevel="0" collapsed="false">
      <c r="C30" s="10" t="s">
        <v>331</v>
      </c>
      <c r="D30" s="10" t="s">
        <v>332</v>
      </c>
      <c r="E30" s="10" t="s">
        <v>333</v>
      </c>
    </row>
    <row r="31" customFormat="false" ht="15" hidden="false" customHeight="false" outlineLevel="0" collapsed="false">
      <c r="C31" s="10" t="s">
        <v>334</v>
      </c>
      <c r="D31" s="10" t="s">
        <v>335</v>
      </c>
      <c r="E31" s="10" t="s">
        <v>336</v>
      </c>
    </row>
    <row r="32" customFormat="false" ht="15" hidden="false" customHeight="false" outlineLevel="0" collapsed="false">
      <c r="C32" s="10" t="s">
        <v>337</v>
      </c>
      <c r="D32" s="10" t="s">
        <v>338</v>
      </c>
      <c r="E32" s="10" t="s">
        <v>339</v>
      </c>
    </row>
    <row r="33" customFormat="false" ht="15" hidden="false" customHeight="false" outlineLevel="0" collapsed="false">
      <c r="C33" s="10" t="s">
        <v>340</v>
      </c>
      <c r="D33" s="10" t="s">
        <v>341</v>
      </c>
      <c r="E33" s="10" t="s">
        <v>342</v>
      </c>
    </row>
    <row r="34" customFormat="false" ht="15" hidden="false" customHeight="false" outlineLevel="0" collapsed="false">
      <c r="C34" s="10" t="s">
        <v>343</v>
      </c>
      <c r="D34" s="10" t="s">
        <v>344</v>
      </c>
      <c r="E34" s="10" t="s">
        <v>345</v>
      </c>
    </row>
    <row r="35" customFormat="false" ht="15" hidden="false" customHeight="false" outlineLevel="0" collapsed="false">
      <c r="C35" s="10" t="s">
        <v>346</v>
      </c>
      <c r="D35" s="10" t="s">
        <v>347</v>
      </c>
      <c r="E35" s="10" t="s">
        <v>348</v>
      </c>
    </row>
    <row r="36" customFormat="false" ht="15" hidden="false" customHeight="false" outlineLevel="0" collapsed="false">
      <c r="C36" s="10" t="s">
        <v>349</v>
      </c>
      <c r="D36" s="10" t="s">
        <v>350</v>
      </c>
      <c r="E36" s="10" t="s">
        <v>351</v>
      </c>
    </row>
    <row r="37" customFormat="false" ht="15" hidden="false" customHeight="false" outlineLevel="0" collapsed="false">
      <c r="C37" s="10" t="s">
        <v>352</v>
      </c>
      <c r="D37" s="10" t="s">
        <v>353</v>
      </c>
      <c r="E37" s="10" t="s">
        <v>354</v>
      </c>
    </row>
    <row r="38" customFormat="false" ht="15" hidden="false" customHeight="false" outlineLevel="0" collapsed="false">
      <c r="C38" s="10" t="s">
        <v>355</v>
      </c>
      <c r="D38" s="10" t="s">
        <v>356</v>
      </c>
      <c r="E38" s="10" t="s">
        <v>357</v>
      </c>
    </row>
    <row r="42" customFormat="false" ht="21" hidden="false" customHeight="true" outlineLevel="0" collapsed="false">
      <c r="C42" s="14" t="s">
        <v>358</v>
      </c>
      <c r="D42" s="15"/>
      <c r="E42" s="15"/>
      <c r="F42" s="15"/>
      <c r="G42" s="15"/>
      <c r="H42" s="15"/>
    </row>
    <row r="43" customFormat="false" ht="30" hidden="false" customHeight="true" outlineLevel="0" collapsed="false">
      <c r="C43" s="7" t="s">
        <v>359</v>
      </c>
      <c r="D43" s="7"/>
      <c r="E43" s="7"/>
      <c r="F43" s="7"/>
      <c r="G43" s="7"/>
      <c r="H43" s="7"/>
    </row>
    <row r="44" customFormat="false" ht="30" hidden="false" customHeight="true" outlineLevel="0" collapsed="false">
      <c r="C44" s="7" t="s">
        <v>360</v>
      </c>
      <c r="D44" s="7"/>
      <c r="E44" s="7"/>
      <c r="F44" s="7"/>
      <c r="G44" s="7"/>
      <c r="H44" s="7"/>
    </row>
    <row r="45" customFormat="false" ht="30" hidden="false" customHeight="true" outlineLevel="0" collapsed="false">
      <c r="C45" s="7" t="s">
        <v>361</v>
      </c>
      <c r="D45" s="7"/>
      <c r="E45" s="7"/>
      <c r="F45" s="7"/>
      <c r="G45" s="7"/>
      <c r="H45" s="7"/>
    </row>
    <row r="46" customFormat="false" ht="30" hidden="false" customHeight="true" outlineLevel="0" collapsed="false">
      <c r="C46" s="7" t="s">
        <v>362</v>
      </c>
      <c r="D46" s="7"/>
      <c r="E46" s="7"/>
      <c r="F46" s="7"/>
      <c r="G46" s="7"/>
      <c r="H46" s="7"/>
    </row>
    <row r="47" customFormat="false" ht="30" hidden="false" customHeight="true" outlineLevel="0" collapsed="false">
      <c r="C47" s="7" t="s">
        <v>363</v>
      </c>
      <c r="D47" s="7"/>
      <c r="E47" s="7"/>
      <c r="F47" s="7"/>
      <c r="G47" s="7"/>
      <c r="H47" s="7"/>
    </row>
    <row r="50" customFormat="false" ht="21" hidden="false" customHeight="true" outlineLevel="0" collapsed="false">
      <c r="C50" s="14" t="s">
        <v>364</v>
      </c>
      <c r="D50" s="15"/>
      <c r="E50" s="15"/>
      <c r="F50" s="15"/>
      <c r="G50" s="15"/>
      <c r="H50" s="15"/>
    </row>
    <row r="52" customFormat="false" ht="30" hidden="false" customHeight="true" outlineLevel="0" collapsed="false">
      <c r="C52" s="21" t="s">
        <v>365</v>
      </c>
      <c r="D52" s="21" t="s">
        <v>366</v>
      </c>
      <c r="E52" s="21" t="s">
        <v>367</v>
      </c>
    </row>
    <row r="53" customFormat="false" ht="15" hidden="false" customHeight="false" outlineLevel="0" collapsed="false">
      <c r="C53" s="10" t="s">
        <v>368</v>
      </c>
      <c r="D53" s="10" t="s">
        <v>369</v>
      </c>
      <c r="E53" s="10" t="s">
        <v>370</v>
      </c>
    </row>
    <row r="54" customFormat="false" ht="15" hidden="false" customHeight="false" outlineLevel="0" collapsed="false">
      <c r="C54" s="10" t="s">
        <v>371</v>
      </c>
      <c r="D54" s="10" t="s">
        <v>372</v>
      </c>
      <c r="E54" s="10" t="s">
        <v>373</v>
      </c>
    </row>
    <row r="55" customFormat="false" ht="15" hidden="false" customHeight="false" outlineLevel="0" collapsed="false">
      <c r="C55" s="10" t="s">
        <v>374</v>
      </c>
      <c r="D55" s="10" t="s">
        <v>375</v>
      </c>
      <c r="E55" s="10" t="s">
        <v>376</v>
      </c>
    </row>
    <row r="56" customFormat="false" ht="15" hidden="false" customHeight="false" outlineLevel="0" collapsed="false">
      <c r="C56" s="10" t="s">
        <v>377</v>
      </c>
      <c r="D56" s="10" t="s">
        <v>378</v>
      </c>
      <c r="E56" s="10" t="s">
        <v>379</v>
      </c>
    </row>
    <row r="57" customFormat="false" ht="15" hidden="false" customHeight="false" outlineLevel="0" collapsed="false">
      <c r="C57" s="10" t="s">
        <v>380</v>
      </c>
      <c r="D57" s="10" t="s">
        <v>381</v>
      </c>
      <c r="E57" s="10" t="s">
        <v>382</v>
      </c>
    </row>
    <row r="58" customFormat="false" ht="15" hidden="false" customHeight="false" outlineLevel="0" collapsed="false">
      <c r="C58" s="10" t="s">
        <v>383</v>
      </c>
      <c r="D58" s="10" t="s">
        <v>384</v>
      </c>
      <c r="E58" s="10" t="s">
        <v>385</v>
      </c>
    </row>
    <row r="59" customFormat="false" ht="15" hidden="false" customHeight="false" outlineLevel="0" collapsed="false">
      <c r="C59" s="10" t="s">
        <v>386</v>
      </c>
      <c r="D59" s="10" t="s">
        <v>387</v>
      </c>
      <c r="E59" s="10" t="s">
        <v>388</v>
      </c>
    </row>
  </sheetData>
  <mergeCells count="6">
    <mergeCell ref="C3:J3"/>
    <mergeCell ref="C43:H43"/>
    <mergeCell ref="C44:H44"/>
    <mergeCell ref="C45:H45"/>
    <mergeCell ref="C46:H46"/>
    <mergeCell ref="C47:H47"/>
  </mergeCells>
  <conditionalFormatting sqref="E8:E19">
    <cfRule type="expression" priority="2" aboveAverage="0" equalAverage="0" bottom="0" percent="0" rank="0" text="" dxfId="10">
      <formula>E8="PASS"</formula>
    </cfRule>
    <cfRule type="expression" priority="3" aboveAverage="0" equalAverage="0" bottom="0" percent="0" rank="0" text="" dxfId="12">
      <formula>E8="FAIL"</formula>
    </cfRule>
  </conditionalFormatting>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LibreOffice/26.8.1.1$Windows_X86_64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2026-10-25T14:28:18Z</dcterms:created>
  <dc:creator>openpyxl</dc:creator>
  <dc:description/>
  <dc:language>en-GB</dc:language>
  <cp:lastModifiedBy/>
  <dcterms:modified xsi:type="dcterms:W3CDTF">2026-10-25T14:28:19Z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